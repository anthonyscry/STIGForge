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raneDev\Git\SPORK\es_dev\Auxiliary\pvt\DocumentationSource\"/>
    </mc:Choice>
  </mc:AlternateContent>
  <xr:revisionPtr revIDLastSave="0" documentId="13_ncr:1_{44CB17D6-BA01-4C36-B03F-BEDFA9DCF4E8}" xr6:coauthVersionLast="47" xr6:coauthVersionMax="47" xr10:uidLastSave="{00000000-0000-0000-0000-000000000000}"/>
  <bookViews>
    <workbookView xWindow="-105" yWindow="0" windowWidth="26010" windowHeight="20985" tabRatio="608" xr2:uid="{00000000-000D-0000-FFFF-FFFF00000000}"/>
  </bookViews>
  <sheets>
    <sheet name="Calculator" sheetId="13" r:id="rId1"/>
    <sheet name="Charts" sheetId="15" r:id="rId2"/>
    <sheet name="STIG_Metrics" sheetId="8" r:id="rId3"/>
    <sheet name="Dropdown Data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3" l="1"/>
  <c r="M32" i="13"/>
  <c r="M33" i="13"/>
  <c r="M34" i="13"/>
  <c r="M35" i="13"/>
  <c r="M36" i="13"/>
  <c r="M37" i="13"/>
  <c r="M38" i="13"/>
  <c r="M39" i="13"/>
  <c r="M40" i="13"/>
  <c r="D40" i="13"/>
  <c r="K40" i="13"/>
  <c r="L40" i="13"/>
  <c r="N40" i="13"/>
  <c r="O40" i="13"/>
  <c r="P40" i="13"/>
  <c r="Q40" i="13"/>
  <c r="V40" i="13"/>
  <c r="W40" i="13"/>
  <c r="X40" i="13"/>
  <c r="Y40" i="13"/>
  <c r="Z40" i="13"/>
  <c r="AA40" i="13"/>
  <c r="AB40" i="13"/>
  <c r="AC40" i="13"/>
  <c r="R40" i="13" s="1"/>
  <c r="AD40" i="13"/>
  <c r="S40" i="13" s="1"/>
  <c r="AE40" i="13"/>
  <c r="T40" i="13" s="1"/>
  <c r="AF40" i="13"/>
  <c r="U40" i="13" s="1"/>
  <c r="AG40" i="13"/>
  <c r="G40" i="13" s="1"/>
  <c r="H40" i="13" s="1"/>
  <c r="AH40" i="13"/>
  <c r="I40" i="13" s="1"/>
  <c r="J40" i="13" s="1"/>
  <c r="AI40" i="13"/>
  <c r="AJ40" i="13"/>
  <c r="AK40" i="13"/>
  <c r="AL40" i="13"/>
  <c r="D37" i="13"/>
  <c r="I37" i="13"/>
  <c r="J37" i="13"/>
  <c r="K37" i="13"/>
  <c r="L37" i="13"/>
  <c r="N37" i="13"/>
  <c r="O37" i="13"/>
  <c r="P37" i="13"/>
  <c r="Q37" i="13"/>
  <c r="T37" i="13"/>
  <c r="U37" i="13"/>
  <c r="V37" i="13"/>
  <c r="W37" i="13"/>
  <c r="X37" i="13"/>
  <c r="Y37" i="13"/>
  <c r="Z37" i="13"/>
  <c r="AA37" i="13"/>
  <c r="AB37" i="13"/>
  <c r="AC37" i="13"/>
  <c r="R37" i="13" s="1"/>
  <c r="AD37" i="13"/>
  <c r="AG37" i="13" s="1"/>
  <c r="G37" i="13" s="1"/>
  <c r="H37" i="13" s="1"/>
  <c r="AE37" i="13"/>
  <c r="AF37" i="13"/>
  <c r="AH37" i="13"/>
  <c r="AI37" i="13"/>
  <c r="AJ37" i="13"/>
  <c r="AK37" i="13"/>
  <c r="AL37" i="13"/>
  <c r="D35" i="13"/>
  <c r="G35" i="13"/>
  <c r="H35" i="13"/>
  <c r="I35" i="13"/>
  <c r="J35" i="13"/>
  <c r="K35" i="13"/>
  <c r="L35" i="13"/>
  <c r="N35" i="13"/>
  <c r="O35" i="13"/>
  <c r="P35" i="13"/>
  <c r="AA35" i="13" s="1"/>
  <c r="Q35" i="13"/>
  <c r="AB35" i="13" s="1"/>
  <c r="R35" i="13"/>
  <c r="S35" i="13"/>
  <c r="T35" i="13"/>
  <c r="U35" i="13"/>
  <c r="V35" i="13"/>
  <c r="W35" i="13"/>
  <c r="X35" i="13"/>
  <c r="Y35" i="13"/>
  <c r="Z35" i="13"/>
  <c r="AC35" i="13"/>
  <c r="AD35" i="13"/>
  <c r="AE35" i="13"/>
  <c r="AF35" i="13"/>
  <c r="AG35" i="13"/>
  <c r="AH35" i="13"/>
  <c r="AI35" i="13"/>
  <c r="AJ35" i="13"/>
  <c r="AK35" i="13"/>
  <c r="AL35" i="13"/>
  <c r="D34" i="13"/>
  <c r="G34" i="13"/>
  <c r="H34" i="13"/>
  <c r="I34" i="13"/>
  <c r="J34" i="13"/>
  <c r="K34" i="13"/>
  <c r="Y34" i="13" s="1"/>
  <c r="L34" i="13"/>
  <c r="N34" i="13"/>
  <c r="O34" i="13"/>
  <c r="Z34" i="13" s="1"/>
  <c r="P34" i="13"/>
  <c r="AA34" i="13" s="1"/>
  <c r="Q34" i="13"/>
  <c r="AB34" i="13" s="1"/>
  <c r="R34" i="13"/>
  <c r="S34" i="13"/>
  <c r="T34" i="13"/>
  <c r="U34" i="13"/>
  <c r="V34" i="13"/>
  <c r="W34" i="13"/>
  <c r="X34" i="13"/>
  <c r="AC34" i="13"/>
  <c r="AD34" i="13"/>
  <c r="AE34" i="13"/>
  <c r="AF34" i="13"/>
  <c r="AG34" i="13"/>
  <c r="AH34" i="13"/>
  <c r="AI34" i="13"/>
  <c r="AJ34" i="13"/>
  <c r="AK34" i="13"/>
  <c r="AL34" i="13"/>
  <c r="D33" i="13"/>
  <c r="K33" i="13"/>
  <c r="Y33" i="13" s="1"/>
  <c r="L33" i="13"/>
  <c r="N33" i="13"/>
  <c r="O33" i="13"/>
  <c r="Z33" i="13" s="1"/>
  <c r="P33" i="13"/>
  <c r="AA33" i="13" s="1"/>
  <c r="Q33" i="13"/>
  <c r="AB33" i="13" s="1"/>
  <c r="V33" i="13"/>
  <c r="W33" i="13"/>
  <c r="X33" i="13"/>
  <c r="AC33" i="13"/>
  <c r="R33" i="13" s="1"/>
  <c r="AD33" i="13"/>
  <c r="S33" i="13" s="1"/>
  <c r="AE33" i="13"/>
  <c r="T33" i="13" s="1"/>
  <c r="AF33" i="13"/>
  <c r="U33" i="13" s="1"/>
  <c r="AG33" i="13"/>
  <c r="G33" i="13" s="1"/>
  <c r="H33" i="13" s="1"/>
  <c r="AH33" i="13"/>
  <c r="I33" i="13" s="1"/>
  <c r="J33" i="13" s="1"/>
  <c r="AI33" i="13"/>
  <c r="AJ33" i="13"/>
  <c r="AK33" i="13"/>
  <c r="AL33" i="13"/>
  <c r="D32" i="13"/>
  <c r="G32" i="13"/>
  <c r="H32" i="13"/>
  <c r="I32" i="13"/>
  <c r="J32" i="13"/>
  <c r="K32" i="13"/>
  <c r="Y32" i="13" s="1"/>
  <c r="L32" i="13"/>
  <c r="N32" i="13"/>
  <c r="O32" i="13"/>
  <c r="P32" i="13"/>
  <c r="Q32" i="13"/>
  <c r="V32" i="13"/>
  <c r="W32" i="13"/>
  <c r="X32" i="13"/>
  <c r="Z32" i="13"/>
  <c r="AA32" i="13"/>
  <c r="AB32" i="13"/>
  <c r="AC32" i="13"/>
  <c r="R32" i="13" s="1"/>
  <c r="AD32" i="13"/>
  <c r="S32" i="13" s="1"/>
  <c r="AE32" i="13"/>
  <c r="T32" i="13" s="1"/>
  <c r="AF32" i="13"/>
  <c r="U32" i="13" s="1"/>
  <c r="AG32" i="13"/>
  <c r="AH32" i="13"/>
  <c r="AI32" i="13"/>
  <c r="AJ32" i="13"/>
  <c r="AK32" i="13"/>
  <c r="AL32" i="13"/>
  <c r="D31" i="13"/>
  <c r="G31" i="13"/>
  <c r="H31" i="13"/>
  <c r="I31" i="13"/>
  <c r="J31" i="13" s="1"/>
  <c r="K31" i="13"/>
  <c r="L31" i="13"/>
  <c r="N31" i="13"/>
  <c r="O31" i="13"/>
  <c r="P31" i="13"/>
  <c r="Q31" i="13"/>
  <c r="V31" i="13"/>
  <c r="W31" i="13"/>
  <c r="X31" i="13"/>
  <c r="Y31" i="13"/>
  <c r="Z31" i="13"/>
  <c r="AA31" i="13"/>
  <c r="AB31" i="13"/>
  <c r="AC31" i="13"/>
  <c r="R31" i="13" s="1"/>
  <c r="AD31" i="13"/>
  <c r="S31" i="13" s="1"/>
  <c r="AE31" i="13"/>
  <c r="T31" i="13" s="1"/>
  <c r="AF31" i="13"/>
  <c r="U31" i="13" s="1"/>
  <c r="AG31" i="13"/>
  <c r="AH31" i="13"/>
  <c r="AI31" i="13"/>
  <c r="AJ31" i="13"/>
  <c r="AK31" i="13"/>
  <c r="AL31" i="13"/>
  <c r="X31" i="8"/>
  <c r="X32" i="8"/>
  <c r="X33" i="8"/>
  <c r="X34" i="8"/>
  <c r="X35" i="8"/>
  <c r="X36" i="8"/>
  <c r="X37" i="8"/>
  <c r="X38" i="8"/>
  <c r="X39" i="8"/>
  <c r="X40" i="8"/>
  <c r="P31" i="8"/>
  <c r="P32" i="8"/>
  <c r="P33" i="8"/>
  <c r="P34" i="8"/>
  <c r="P35" i="8"/>
  <c r="P36" i="8"/>
  <c r="P37" i="8"/>
  <c r="P38" i="8"/>
  <c r="P39" i="8"/>
  <c r="P40" i="8"/>
  <c r="M32" i="8"/>
  <c r="M33" i="8"/>
  <c r="M34" i="8"/>
  <c r="M35" i="8"/>
  <c r="M36" i="8"/>
  <c r="M37" i="8"/>
  <c r="M38" i="8"/>
  <c r="M40" i="8"/>
  <c r="J31" i="8"/>
  <c r="M31" i="8" s="1"/>
  <c r="J32" i="8"/>
  <c r="J33" i="8"/>
  <c r="J34" i="8"/>
  <c r="J35" i="8"/>
  <c r="J36" i="8"/>
  <c r="J37" i="8"/>
  <c r="J38" i="8"/>
  <c r="J39" i="8"/>
  <c r="M39" i="8" s="1"/>
  <c r="J40" i="8"/>
  <c r="I40" i="8"/>
  <c r="L40" i="8" s="1"/>
  <c r="K40" i="8"/>
  <c r="N40" i="8"/>
  <c r="O40" i="8"/>
  <c r="R40" i="8" s="1"/>
  <c r="Q40" i="8"/>
  <c r="W40" i="8"/>
  <c r="Y40" i="8"/>
  <c r="I37" i="8"/>
  <c r="K37" i="8"/>
  <c r="L37" i="8"/>
  <c r="N37" i="8"/>
  <c r="O37" i="8"/>
  <c r="Q37" i="8"/>
  <c r="W37" i="8"/>
  <c r="Y37" i="8"/>
  <c r="I35" i="8"/>
  <c r="L35" i="8" s="1"/>
  <c r="K35" i="8"/>
  <c r="N35" i="8"/>
  <c r="O35" i="8"/>
  <c r="Q35" i="8"/>
  <c r="T35" i="8" s="1"/>
  <c r="W35" i="8"/>
  <c r="Y35" i="8"/>
  <c r="I34" i="8"/>
  <c r="L34" i="8" s="1"/>
  <c r="K34" i="8"/>
  <c r="N34" i="8"/>
  <c r="O34" i="8"/>
  <c r="Q34" i="8"/>
  <c r="W34" i="8"/>
  <c r="Y34" i="8"/>
  <c r="I33" i="8"/>
  <c r="L33" i="8" s="1"/>
  <c r="K33" i="8"/>
  <c r="N33" i="8"/>
  <c r="O33" i="8"/>
  <c r="Q33" i="8"/>
  <c r="W33" i="8"/>
  <c r="Y33" i="8"/>
  <c r="I32" i="8"/>
  <c r="L32" i="8" s="1"/>
  <c r="K32" i="8"/>
  <c r="N32" i="8"/>
  <c r="O32" i="8"/>
  <c r="Q32" i="8"/>
  <c r="W32" i="8"/>
  <c r="Y32" i="8"/>
  <c r="I31" i="8"/>
  <c r="L31" i="8" s="1"/>
  <c r="K31" i="8"/>
  <c r="N31" i="8"/>
  <c r="O31" i="8"/>
  <c r="Q31" i="8"/>
  <c r="W31" i="8"/>
  <c r="Y31" i="8"/>
  <c r="M24" i="13"/>
  <c r="D24" i="13"/>
  <c r="K24" i="13"/>
  <c r="L24" i="13"/>
  <c r="N24" i="13"/>
  <c r="O24" i="13"/>
  <c r="P24" i="13"/>
  <c r="Q24" i="13"/>
  <c r="V24" i="13"/>
  <c r="W24" i="13"/>
  <c r="X24" i="13"/>
  <c r="Y24" i="13"/>
  <c r="Z24" i="13"/>
  <c r="AA24" i="13"/>
  <c r="AB24" i="13"/>
  <c r="AC24" i="13"/>
  <c r="R24" i="13" s="1"/>
  <c r="AD24" i="13"/>
  <c r="S24" i="13" s="1"/>
  <c r="AE24" i="13"/>
  <c r="T24" i="13" s="1"/>
  <c r="AF24" i="13"/>
  <c r="U24" i="13" s="1"/>
  <c r="AH24" i="13"/>
  <c r="I24" i="13" s="1"/>
  <c r="J24" i="13" s="1"/>
  <c r="AI24" i="13"/>
  <c r="AJ24" i="13"/>
  <c r="AK24" i="13"/>
  <c r="AL24" i="13"/>
  <c r="X19" i="8"/>
  <c r="P19" i="8"/>
  <c r="J19" i="8"/>
  <c r="M19" i="8" s="1"/>
  <c r="I19" i="8"/>
  <c r="K19" i="8"/>
  <c r="L19" i="8"/>
  <c r="N19" i="8"/>
  <c r="O19" i="8"/>
  <c r="Q19" i="8"/>
  <c r="W19" i="8"/>
  <c r="Y19" i="8"/>
  <c r="M81" i="13"/>
  <c r="M82" i="13"/>
  <c r="M80" i="13"/>
  <c r="D81" i="13"/>
  <c r="K81" i="13"/>
  <c r="Y81" i="13" s="1"/>
  <c r="L81" i="13"/>
  <c r="N81" i="13"/>
  <c r="O81" i="13"/>
  <c r="Z81" i="13" s="1"/>
  <c r="P81" i="13"/>
  <c r="AA81" i="13" s="1"/>
  <c r="Q81" i="13"/>
  <c r="AB81" i="13" s="1"/>
  <c r="D80" i="13"/>
  <c r="K80" i="13"/>
  <c r="Y80" i="13" s="1"/>
  <c r="L80" i="13"/>
  <c r="N80" i="13"/>
  <c r="O80" i="13"/>
  <c r="Z80" i="13" s="1"/>
  <c r="P80" i="13"/>
  <c r="AA80" i="13" s="1"/>
  <c r="Q80" i="13"/>
  <c r="AB80" i="13" s="1"/>
  <c r="X81" i="8"/>
  <c r="P81" i="8"/>
  <c r="J81" i="8"/>
  <c r="M81" i="8" s="1"/>
  <c r="I81" i="8"/>
  <c r="L81" i="8" s="1"/>
  <c r="K81" i="8"/>
  <c r="N81" i="8"/>
  <c r="O81" i="8"/>
  <c r="Q81" i="8"/>
  <c r="W81" i="8"/>
  <c r="Y81" i="8"/>
  <c r="X80" i="8"/>
  <c r="P80" i="8"/>
  <c r="J80" i="8"/>
  <c r="M80" i="8" s="1"/>
  <c r="I80" i="8"/>
  <c r="L80" i="8" s="1"/>
  <c r="K80" i="8"/>
  <c r="N80" i="8"/>
  <c r="O80" i="8"/>
  <c r="Q80" i="8"/>
  <c r="W80" i="8"/>
  <c r="Y80" i="8"/>
  <c r="M73" i="13"/>
  <c r="D73" i="13"/>
  <c r="K73" i="13"/>
  <c r="Y73" i="13" s="1"/>
  <c r="L73" i="13"/>
  <c r="N73" i="13"/>
  <c r="O73" i="13"/>
  <c r="Z73" i="13" s="1"/>
  <c r="P73" i="13"/>
  <c r="AA73" i="13" s="1"/>
  <c r="Q73" i="13"/>
  <c r="AB73" i="13" s="1"/>
  <c r="X78" i="8"/>
  <c r="J78" i="8"/>
  <c r="M78" i="8" s="1"/>
  <c r="K78" i="8"/>
  <c r="N78" i="8"/>
  <c r="O78" i="8"/>
  <c r="P78" i="8"/>
  <c r="I78" i="8"/>
  <c r="L78" i="8" s="1"/>
  <c r="Q78" i="8"/>
  <c r="W78" i="8"/>
  <c r="Y78" i="8"/>
  <c r="M92" i="13"/>
  <c r="D92" i="13"/>
  <c r="K92" i="13"/>
  <c r="Y92" i="13" s="1"/>
  <c r="L92" i="13"/>
  <c r="N92" i="13"/>
  <c r="O92" i="13"/>
  <c r="Z92" i="13" s="1"/>
  <c r="P92" i="13"/>
  <c r="AA92" i="13" s="1"/>
  <c r="Q92" i="13"/>
  <c r="AB92" i="13" s="1"/>
  <c r="X106" i="8"/>
  <c r="N106" i="8"/>
  <c r="O106" i="8"/>
  <c r="P106" i="8"/>
  <c r="Q106" i="8"/>
  <c r="J106" i="8"/>
  <c r="M106" i="8" s="1"/>
  <c r="I106" i="8"/>
  <c r="L106" i="8" s="1"/>
  <c r="K106" i="8"/>
  <c r="W106" i="8"/>
  <c r="Y106" i="8"/>
  <c r="M103" i="13"/>
  <c r="D103" i="13"/>
  <c r="K103" i="13"/>
  <c r="Y103" i="13" s="1"/>
  <c r="L103" i="13"/>
  <c r="N103" i="13"/>
  <c r="O103" i="13"/>
  <c r="Z103" i="13" s="1"/>
  <c r="P103" i="13"/>
  <c r="AA103" i="13" s="1"/>
  <c r="Q103" i="13"/>
  <c r="AB103" i="13" s="1"/>
  <c r="M29" i="13"/>
  <c r="D29" i="13"/>
  <c r="K29" i="13"/>
  <c r="L29" i="13"/>
  <c r="N29" i="13"/>
  <c r="O29" i="13"/>
  <c r="Z29" i="13" s="1"/>
  <c r="P29" i="13"/>
  <c r="AA29" i="13" s="1"/>
  <c r="Q29" i="13"/>
  <c r="R29" i="13"/>
  <c r="U29" i="13"/>
  <c r="V29" i="13"/>
  <c r="W29" i="13"/>
  <c r="X29" i="13"/>
  <c r="Y29" i="13"/>
  <c r="AB29" i="13"/>
  <c r="AC29" i="13"/>
  <c r="AD29" i="13"/>
  <c r="S29" i="13" s="1"/>
  <c r="AE29" i="13"/>
  <c r="T29" i="13" s="1"/>
  <c r="AF29" i="13"/>
  <c r="AH29" i="13"/>
  <c r="I29" i="13" s="1"/>
  <c r="J29" i="13" s="1"/>
  <c r="AI29" i="13"/>
  <c r="AJ29" i="13"/>
  <c r="AK29" i="13"/>
  <c r="AL29" i="13"/>
  <c r="X41" i="8"/>
  <c r="P41" i="8"/>
  <c r="J41" i="8"/>
  <c r="M41" i="8" s="1"/>
  <c r="I41" i="8"/>
  <c r="L41" i="8" s="1"/>
  <c r="K41" i="8"/>
  <c r="N41" i="8"/>
  <c r="O41" i="8"/>
  <c r="Q41" i="8"/>
  <c r="W41" i="8"/>
  <c r="Y41" i="8"/>
  <c r="J30" i="8"/>
  <c r="M30" i="8" s="1"/>
  <c r="X30" i="8"/>
  <c r="P30" i="8"/>
  <c r="I30" i="8"/>
  <c r="L30" i="8" s="1"/>
  <c r="K30" i="8"/>
  <c r="N30" i="8"/>
  <c r="O30" i="8"/>
  <c r="Q30" i="8"/>
  <c r="W30" i="8"/>
  <c r="Y30" i="8"/>
  <c r="J116" i="8"/>
  <c r="J14" i="13"/>
  <c r="J17" i="13"/>
  <c r="J25" i="13"/>
  <c r="J26" i="13"/>
  <c r="J27" i="13"/>
  <c r="J28" i="13"/>
  <c r="J44" i="13"/>
  <c r="J46" i="13"/>
  <c r="J50" i="13"/>
  <c r="J52" i="13"/>
  <c r="J53" i="13"/>
  <c r="J54" i="13"/>
  <c r="J55" i="13"/>
  <c r="J56" i="13"/>
  <c r="J60" i="13"/>
  <c r="J63" i="13"/>
  <c r="J65" i="13"/>
  <c r="J74" i="13"/>
  <c r="J76" i="13"/>
  <c r="J82" i="13"/>
  <c r="J88" i="13"/>
  <c r="J93" i="13"/>
  <c r="J95" i="13"/>
  <c r="J97" i="13"/>
  <c r="J98" i="13"/>
  <c r="J99" i="13"/>
  <c r="J102" i="13"/>
  <c r="J104" i="13"/>
  <c r="J105" i="13"/>
  <c r="J106" i="13"/>
  <c r="J107" i="13"/>
  <c r="J111" i="13"/>
  <c r="J112" i="13"/>
  <c r="J113" i="13"/>
  <c r="H14" i="13"/>
  <c r="H17" i="13"/>
  <c r="H25" i="13"/>
  <c r="H26" i="13"/>
  <c r="H27" i="13"/>
  <c r="H28" i="13"/>
  <c r="H44" i="13"/>
  <c r="H46" i="13"/>
  <c r="H50" i="13"/>
  <c r="H52" i="13"/>
  <c r="H53" i="13"/>
  <c r="H54" i="13"/>
  <c r="H55" i="13"/>
  <c r="H56" i="13"/>
  <c r="H60" i="13"/>
  <c r="H63" i="13"/>
  <c r="H65" i="13"/>
  <c r="H74" i="13"/>
  <c r="H76" i="13"/>
  <c r="H82" i="13"/>
  <c r="H88" i="13"/>
  <c r="H93" i="13"/>
  <c r="H95" i="13"/>
  <c r="H97" i="13"/>
  <c r="H98" i="13"/>
  <c r="H99" i="13"/>
  <c r="H102" i="13"/>
  <c r="H104" i="13"/>
  <c r="H105" i="13"/>
  <c r="H106" i="13"/>
  <c r="H107" i="13"/>
  <c r="H111" i="13"/>
  <c r="H112" i="13"/>
  <c r="H113" i="13"/>
  <c r="S37" i="13" l="1"/>
  <c r="S32" i="8"/>
  <c r="S34" i="8"/>
  <c r="S40" i="8"/>
  <c r="U34" i="8"/>
  <c r="S33" i="8"/>
  <c r="S31" i="8"/>
  <c r="T40" i="8"/>
  <c r="S37" i="8"/>
  <c r="V35" i="8"/>
  <c r="S35" i="8"/>
  <c r="V40" i="8"/>
  <c r="U40" i="8"/>
  <c r="V32" i="8"/>
  <c r="T37" i="8"/>
  <c r="R80" i="8"/>
  <c r="R37" i="8"/>
  <c r="R34" i="8"/>
  <c r="V37" i="8"/>
  <c r="U37" i="8"/>
  <c r="R35" i="8"/>
  <c r="V34" i="8"/>
  <c r="U35" i="8"/>
  <c r="R33" i="8"/>
  <c r="T34" i="8"/>
  <c r="T33" i="8"/>
  <c r="R32" i="8"/>
  <c r="V33" i="8"/>
  <c r="T32" i="8"/>
  <c r="U33" i="8"/>
  <c r="U32" i="8"/>
  <c r="T31" i="8"/>
  <c r="R31" i="8"/>
  <c r="V31" i="8"/>
  <c r="U31" i="8"/>
  <c r="S19" i="8"/>
  <c r="V19" i="8"/>
  <c r="AG24" i="13"/>
  <c r="G24" i="13" s="1"/>
  <c r="H24" i="13" s="1"/>
  <c r="R19" i="8"/>
  <c r="U19" i="8"/>
  <c r="T19" i="8"/>
  <c r="R81" i="8"/>
  <c r="S81" i="8"/>
  <c r="S78" i="8"/>
  <c r="T80" i="8"/>
  <c r="T81" i="8"/>
  <c r="U81" i="8"/>
  <c r="V81" i="8"/>
  <c r="S106" i="8"/>
  <c r="V80" i="8"/>
  <c r="S80" i="8"/>
  <c r="T78" i="8"/>
  <c r="T30" i="8"/>
  <c r="R78" i="8"/>
  <c r="U80" i="8"/>
  <c r="R106" i="8"/>
  <c r="U106" i="8"/>
  <c r="V78" i="8"/>
  <c r="T41" i="8"/>
  <c r="U78" i="8"/>
  <c r="V106" i="8"/>
  <c r="T106" i="8"/>
  <c r="R41" i="8"/>
  <c r="AG29" i="13"/>
  <c r="G29" i="13" s="1"/>
  <c r="H29" i="13" s="1"/>
  <c r="R30" i="8"/>
  <c r="S30" i="8"/>
  <c r="V41" i="8"/>
  <c r="U41" i="8"/>
  <c r="S41" i="8"/>
  <c r="V30" i="8"/>
  <c r="U30" i="8"/>
  <c r="I14" i="13"/>
  <c r="I17" i="13"/>
  <c r="I25" i="13"/>
  <c r="I26" i="13"/>
  <c r="I27" i="13"/>
  <c r="I28" i="13"/>
  <c r="I44" i="13"/>
  <c r="I46" i="13"/>
  <c r="I50" i="13"/>
  <c r="I52" i="13"/>
  <c r="I53" i="13"/>
  <c r="I54" i="13"/>
  <c r="I55" i="13"/>
  <c r="I56" i="13"/>
  <c r="I60" i="13"/>
  <c r="I63" i="13"/>
  <c r="I65" i="13"/>
  <c r="I74" i="13"/>
  <c r="I76" i="13"/>
  <c r="I82" i="13"/>
  <c r="I88" i="13"/>
  <c r="I93" i="13"/>
  <c r="I95" i="13"/>
  <c r="I97" i="13"/>
  <c r="I98" i="13"/>
  <c r="I99" i="13"/>
  <c r="I102" i="13"/>
  <c r="I104" i="13"/>
  <c r="I105" i="13"/>
  <c r="I106" i="13"/>
  <c r="I107" i="13"/>
  <c r="I111" i="13"/>
  <c r="I112" i="13"/>
  <c r="I113" i="13"/>
  <c r="G14" i="13"/>
  <c r="G17" i="13"/>
  <c r="G25" i="13"/>
  <c r="G26" i="13"/>
  <c r="G27" i="13"/>
  <c r="G28" i="13"/>
  <c r="G44" i="13"/>
  <c r="G46" i="13"/>
  <c r="G50" i="13"/>
  <c r="G52" i="13"/>
  <c r="G53" i="13"/>
  <c r="G54" i="13"/>
  <c r="G55" i="13"/>
  <c r="G56" i="13"/>
  <c r="G60" i="13"/>
  <c r="G63" i="13"/>
  <c r="G65" i="13"/>
  <c r="G74" i="13"/>
  <c r="G76" i="13"/>
  <c r="G82" i="13"/>
  <c r="G88" i="13"/>
  <c r="G93" i="13"/>
  <c r="G95" i="13"/>
  <c r="G97" i="13"/>
  <c r="G98" i="13"/>
  <c r="G99" i="13"/>
  <c r="G102" i="13"/>
  <c r="G104" i="13"/>
  <c r="G105" i="13"/>
  <c r="G106" i="13"/>
  <c r="G107" i="13"/>
  <c r="G111" i="13"/>
  <c r="G112" i="13"/>
  <c r="G113" i="13"/>
  <c r="V98" i="13"/>
  <c r="V99" i="13"/>
  <c r="V102" i="13"/>
  <c r="V104" i="13"/>
  <c r="V105" i="13"/>
  <c r="V106" i="13"/>
  <c r="V107" i="13"/>
  <c r="V111" i="13"/>
  <c r="V112" i="13"/>
  <c r="V113" i="13"/>
  <c r="V116" i="13"/>
  <c r="X98" i="13"/>
  <c r="X99" i="13"/>
  <c r="X102" i="13"/>
  <c r="X104" i="13"/>
  <c r="X105" i="13"/>
  <c r="X106" i="13"/>
  <c r="X107" i="13"/>
  <c r="X111" i="13"/>
  <c r="X112" i="13"/>
  <c r="X113" i="13"/>
  <c r="X116" i="13"/>
  <c r="W14" i="13"/>
  <c r="W17" i="13"/>
  <c r="W19" i="13"/>
  <c r="W23" i="13"/>
  <c r="W25" i="13"/>
  <c r="W26" i="13"/>
  <c r="W27" i="13"/>
  <c r="W28" i="13"/>
  <c r="W39" i="13"/>
  <c r="W41" i="13"/>
  <c r="W44" i="13"/>
  <c r="W46" i="13"/>
  <c r="W50" i="13"/>
  <c r="W52" i="13"/>
  <c r="W53" i="13"/>
  <c r="W54" i="13"/>
  <c r="W55" i="13"/>
  <c r="W56" i="13"/>
  <c r="W60" i="13"/>
  <c r="W63" i="13"/>
  <c r="W65" i="13"/>
  <c r="W67" i="13"/>
  <c r="W74" i="13"/>
  <c r="W76" i="13"/>
  <c r="W82" i="13"/>
  <c r="W88" i="13"/>
  <c r="W93" i="13"/>
  <c r="W95" i="13"/>
  <c r="W97" i="13"/>
  <c r="W98" i="13"/>
  <c r="W99" i="13"/>
  <c r="W102" i="13"/>
  <c r="W104" i="13"/>
  <c r="W105" i="13"/>
  <c r="W106" i="13"/>
  <c r="W107" i="13"/>
  <c r="W111" i="13"/>
  <c r="W112" i="13"/>
  <c r="W113" i="13"/>
  <c r="W116" i="13"/>
  <c r="T14" i="13"/>
  <c r="T17" i="13"/>
  <c r="T25" i="13"/>
  <c r="T26" i="13"/>
  <c r="T27" i="13"/>
  <c r="T28" i="13"/>
  <c r="T39" i="13"/>
  <c r="T44" i="13"/>
  <c r="T46" i="13"/>
  <c r="T50" i="13"/>
  <c r="T52" i="13"/>
  <c r="T53" i="13"/>
  <c r="T54" i="13"/>
  <c r="T55" i="13"/>
  <c r="T56" i="13"/>
  <c r="T60" i="13"/>
  <c r="T63" i="13"/>
  <c r="T65" i="13"/>
  <c r="T67" i="13"/>
  <c r="T74" i="13"/>
  <c r="T76" i="13"/>
  <c r="T82" i="13"/>
  <c r="T88" i="13"/>
  <c r="T93" i="13"/>
  <c r="T95" i="13"/>
  <c r="T97" i="13"/>
  <c r="T98" i="13"/>
  <c r="T99" i="13"/>
  <c r="T102" i="13"/>
  <c r="T104" i="13"/>
  <c r="T105" i="13"/>
  <c r="T106" i="13"/>
  <c r="T107" i="13"/>
  <c r="T111" i="13"/>
  <c r="T112" i="13"/>
  <c r="T113" i="13"/>
  <c r="AA14" i="13"/>
  <c r="AA17" i="13"/>
  <c r="AA25" i="13"/>
  <c r="AA26" i="13"/>
  <c r="AA27" i="13"/>
  <c r="AA28" i="13"/>
  <c r="AA44" i="13"/>
  <c r="AA46" i="13"/>
  <c r="AA50" i="13"/>
  <c r="AA52" i="13"/>
  <c r="AA53" i="13"/>
  <c r="AA54" i="13"/>
  <c r="AA55" i="13"/>
  <c r="AA56" i="13"/>
  <c r="AA60" i="13"/>
  <c r="AA63" i="13"/>
  <c r="AA65" i="13"/>
  <c r="AA74" i="13"/>
  <c r="AA76" i="13"/>
  <c r="AA82" i="13"/>
  <c r="AA88" i="13"/>
  <c r="AA93" i="13"/>
  <c r="AA95" i="13"/>
  <c r="AA97" i="13"/>
  <c r="AA98" i="13"/>
  <c r="AA99" i="13"/>
  <c r="AA102" i="13"/>
  <c r="AA104" i="13"/>
  <c r="AA105" i="13"/>
  <c r="AA106" i="13"/>
  <c r="AA107" i="13"/>
  <c r="AA111" i="13"/>
  <c r="AA112" i="13"/>
  <c r="AA113" i="13"/>
  <c r="AK14" i="13"/>
  <c r="AK17" i="13"/>
  <c r="AK19" i="13"/>
  <c r="AK23" i="13"/>
  <c r="AK25" i="13"/>
  <c r="AK26" i="13"/>
  <c r="AK27" i="13"/>
  <c r="AK28" i="13"/>
  <c r="AK39" i="13"/>
  <c r="AK41" i="13"/>
  <c r="AK44" i="13"/>
  <c r="AK46" i="13"/>
  <c r="AK50" i="13"/>
  <c r="AK52" i="13"/>
  <c r="AK53" i="13"/>
  <c r="AK54" i="13"/>
  <c r="AK55" i="13"/>
  <c r="AK56" i="13"/>
  <c r="AK60" i="13"/>
  <c r="AK63" i="13"/>
  <c r="AK65" i="13"/>
  <c r="AK67" i="13"/>
  <c r="AK74" i="13"/>
  <c r="AK76" i="13"/>
  <c r="AK82" i="13"/>
  <c r="AK88" i="13"/>
  <c r="AK93" i="13"/>
  <c r="AK95" i="13"/>
  <c r="AK97" i="13"/>
  <c r="AK98" i="13"/>
  <c r="AK99" i="13"/>
  <c r="AK102" i="13"/>
  <c r="AK104" i="13"/>
  <c r="AK105" i="13"/>
  <c r="AK106" i="13"/>
  <c r="AK107" i="13"/>
  <c r="AK111" i="13"/>
  <c r="AK112" i="13"/>
  <c r="AK113" i="13"/>
  <c r="AK116" i="13"/>
  <c r="AH14" i="13"/>
  <c r="AH17" i="13"/>
  <c r="AH25" i="13"/>
  <c r="AH26" i="13"/>
  <c r="AH27" i="13"/>
  <c r="AH28" i="13"/>
  <c r="AH44" i="13"/>
  <c r="AH46" i="13"/>
  <c r="AH50" i="13"/>
  <c r="AH52" i="13"/>
  <c r="AH53" i="13"/>
  <c r="AH54" i="13"/>
  <c r="AH55" i="13"/>
  <c r="AH56" i="13"/>
  <c r="AH60" i="13"/>
  <c r="AH63" i="13"/>
  <c r="AH65" i="13"/>
  <c r="AH74" i="13"/>
  <c r="AH76" i="13"/>
  <c r="AH82" i="13"/>
  <c r="AH88" i="13"/>
  <c r="AH93" i="13"/>
  <c r="AH95" i="13"/>
  <c r="AH97" i="13"/>
  <c r="AH98" i="13"/>
  <c r="AH99" i="13"/>
  <c r="AH102" i="13"/>
  <c r="AH104" i="13"/>
  <c r="AH105" i="13"/>
  <c r="AH106" i="13"/>
  <c r="AH107" i="13"/>
  <c r="AH111" i="13"/>
  <c r="AH112" i="13"/>
  <c r="AH113" i="13"/>
  <c r="AE14" i="13"/>
  <c r="AE17" i="13"/>
  <c r="AE19" i="13"/>
  <c r="T19" i="13" s="1"/>
  <c r="AE23" i="13"/>
  <c r="T23" i="13" s="1"/>
  <c r="AE25" i="13"/>
  <c r="AE26" i="13"/>
  <c r="AE27" i="13"/>
  <c r="AE28" i="13"/>
  <c r="AE39" i="13"/>
  <c r="AE41" i="13"/>
  <c r="T41" i="13" s="1"/>
  <c r="AE44" i="13"/>
  <c r="AE46" i="13"/>
  <c r="AE50" i="13"/>
  <c r="AE52" i="13"/>
  <c r="AE53" i="13"/>
  <c r="AE54" i="13"/>
  <c r="AE55" i="13"/>
  <c r="AE56" i="13"/>
  <c r="AE60" i="13"/>
  <c r="AE63" i="13"/>
  <c r="AE65" i="13"/>
  <c r="AE67" i="13"/>
  <c r="AE74" i="13"/>
  <c r="AE76" i="13"/>
  <c r="AE82" i="13"/>
  <c r="AE88" i="13"/>
  <c r="AE93" i="13"/>
  <c r="AE95" i="13"/>
  <c r="AE97" i="13"/>
  <c r="AE98" i="13"/>
  <c r="AE99" i="13"/>
  <c r="AE102" i="13"/>
  <c r="AE104" i="13"/>
  <c r="AE105" i="13"/>
  <c r="AE106" i="13"/>
  <c r="AE107" i="13"/>
  <c r="AE111" i="13"/>
  <c r="AE112" i="13"/>
  <c r="AE113" i="13"/>
  <c r="AE116" i="13"/>
  <c r="P47" i="8"/>
  <c r="P48" i="8"/>
  <c r="P49" i="8"/>
  <c r="P50" i="8"/>
  <c r="P51" i="8"/>
  <c r="P52" i="8"/>
  <c r="P53" i="8"/>
  <c r="P54" i="8"/>
  <c r="P55" i="8"/>
  <c r="P56" i="8"/>
  <c r="AK81" i="13" s="1"/>
  <c r="P61" i="8"/>
  <c r="AE80" i="13" s="1"/>
  <c r="P63" i="8"/>
  <c r="P64" i="8"/>
  <c r="P65" i="8"/>
  <c r="P66" i="8"/>
  <c r="AE61" i="13" s="1"/>
  <c r="T61" i="13" s="1"/>
  <c r="P67" i="8"/>
  <c r="P68" i="8"/>
  <c r="P69" i="8"/>
  <c r="AE69" i="13" s="1"/>
  <c r="T69" i="13" s="1"/>
  <c r="P70" i="8"/>
  <c r="P71" i="8"/>
  <c r="AK71" i="13" s="1"/>
  <c r="P72" i="8"/>
  <c r="P73" i="8"/>
  <c r="P74" i="8"/>
  <c r="P75" i="8"/>
  <c r="AE70" i="13" s="1"/>
  <c r="T70" i="13" s="1"/>
  <c r="P76" i="8"/>
  <c r="P77" i="8"/>
  <c r="AE72" i="13" s="1"/>
  <c r="T72" i="13" s="1"/>
  <c r="P97" i="8"/>
  <c r="P79" i="8"/>
  <c r="P98" i="8"/>
  <c r="P99" i="8"/>
  <c r="P100" i="8"/>
  <c r="AK100" i="13" s="1"/>
  <c r="P101" i="8"/>
  <c r="AE101" i="13" s="1"/>
  <c r="T101" i="13" s="1"/>
  <c r="P82" i="8"/>
  <c r="P83" i="8"/>
  <c r="AE83" i="13" s="1"/>
  <c r="T83" i="13" s="1"/>
  <c r="P93" i="8"/>
  <c r="P94" i="8"/>
  <c r="AE94" i="13" s="1"/>
  <c r="T94" i="13" s="1"/>
  <c r="P95" i="8"/>
  <c r="P96" i="8"/>
  <c r="AE87" i="13" s="1"/>
  <c r="T87" i="13" s="1"/>
  <c r="P102" i="8"/>
  <c r="P103" i="8"/>
  <c r="P104" i="8"/>
  <c r="P105" i="8"/>
  <c r="P107" i="8"/>
  <c r="P108" i="8"/>
  <c r="P109" i="8"/>
  <c r="P110" i="8"/>
  <c r="P111" i="8"/>
  <c r="P112" i="8"/>
  <c r="P26" i="8"/>
  <c r="P27" i="8"/>
  <c r="P28" i="8"/>
  <c r="P29" i="8"/>
  <c r="P113" i="8"/>
  <c r="P114" i="8"/>
  <c r="P115" i="8"/>
  <c r="P116" i="8"/>
  <c r="P84" i="8"/>
  <c r="AE84" i="13" s="1"/>
  <c r="T84" i="13" s="1"/>
  <c r="P85" i="8"/>
  <c r="P86" i="8"/>
  <c r="AK86" i="13" s="1"/>
  <c r="P117" i="8"/>
  <c r="P87" i="8"/>
  <c r="P88" i="8"/>
  <c r="P89" i="8"/>
  <c r="P90" i="8"/>
  <c r="AE90" i="13" s="1"/>
  <c r="P91" i="8"/>
  <c r="AE91" i="13" s="1"/>
  <c r="T91" i="13" s="1"/>
  <c r="P92" i="8"/>
  <c r="AK92" i="13" s="1"/>
  <c r="P13" i="8"/>
  <c r="AE13" i="13" s="1"/>
  <c r="T13" i="13" s="1"/>
  <c r="P14" i="8"/>
  <c r="P15" i="8"/>
  <c r="AE15" i="13" s="1"/>
  <c r="T15" i="13" s="1"/>
  <c r="P16" i="8"/>
  <c r="AE16" i="13" s="1"/>
  <c r="T16" i="13" s="1"/>
  <c r="P17" i="8"/>
  <c r="P18" i="8"/>
  <c r="AE18" i="13" s="1"/>
  <c r="T18" i="13" s="1"/>
  <c r="P20" i="8"/>
  <c r="P22" i="8"/>
  <c r="P21" i="8"/>
  <c r="P23" i="8"/>
  <c r="P24" i="8"/>
  <c r="P25" i="8"/>
  <c r="P42" i="8"/>
  <c r="AE30" i="13" s="1"/>
  <c r="T30" i="13" s="1"/>
  <c r="P57" i="8"/>
  <c r="AE36" i="13" s="1"/>
  <c r="T36" i="13" s="1"/>
  <c r="P58" i="8"/>
  <c r="AE38" i="13" s="1"/>
  <c r="T38" i="13" s="1"/>
  <c r="P59" i="8"/>
  <c r="P60" i="8"/>
  <c r="P62" i="8"/>
  <c r="P43" i="8"/>
  <c r="P44" i="8"/>
  <c r="P45" i="8"/>
  <c r="AE45" i="13" s="1"/>
  <c r="T45" i="13" s="1"/>
  <c r="P46" i="8"/>
  <c r="P12" i="8"/>
  <c r="M116" i="8"/>
  <c r="P13" i="13"/>
  <c r="AA13" i="13" s="1"/>
  <c r="P14" i="13"/>
  <c r="P15" i="13"/>
  <c r="AA15" i="13" s="1"/>
  <c r="P16" i="13"/>
  <c r="AA16" i="13" s="1"/>
  <c r="P17" i="13"/>
  <c r="P18" i="13"/>
  <c r="AA18" i="13" s="1"/>
  <c r="P19" i="13"/>
  <c r="AA19" i="13" s="1"/>
  <c r="P20" i="13"/>
  <c r="AA20" i="13" s="1"/>
  <c r="P21" i="13"/>
  <c r="AA21" i="13" s="1"/>
  <c r="P22" i="13"/>
  <c r="AA22" i="13" s="1"/>
  <c r="P23" i="13"/>
  <c r="AA23" i="13" s="1"/>
  <c r="P25" i="13"/>
  <c r="P26" i="13"/>
  <c r="P27" i="13"/>
  <c r="P28" i="13"/>
  <c r="P30" i="13"/>
  <c r="AA30" i="13" s="1"/>
  <c r="P36" i="13"/>
  <c r="AA36" i="13" s="1"/>
  <c r="P38" i="13"/>
  <c r="AA38" i="13" s="1"/>
  <c r="P39" i="13"/>
  <c r="AA39" i="13" s="1"/>
  <c r="P41" i="13"/>
  <c r="AA41" i="13" s="1"/>
  <c r="P42" i="13"/>
  <c r="AA42" i="13" s="1"/>
  <c r="P43" i="13"/>
  <c r="AA43" i="13" s="1"/>
  <c r="P44" i="13"/>
  <c r="P45" i="13"/>
  <c r="AA45" i="13" s="1"/>
  <c r="P46" i="13"/>
  <c r="P47" i="13"/>
  <c r="AA47" i="13" s="1"/>
  <c r="P48" i="13"/>
  <c r="AA48" i="13" s="1"/>
  <c r="P49" i="13"/>
  <c r="AA49" i="13" s="1"/>
  <c r="P50" i="13"/>
  <c r="P51" i="13"/>
  <c r="AA51" i="13" s="1"/>
  <c r="P52" i="13"/>
  <c r="P53" i="13"/>
  <c r="P54" i="13"/>
  <c r="P55" i="13"/>
  <c r="P56" i="13"/>
  <c r="P57" i="13"/>
  <c r="AA57" i="13" s="1"/>
  <c r="P58" i="13"/>
  <c r="AA58" i="13" s="1"/>
  <c r="P59" i="13"/>
  <c r="AA59" i="13" s="1"/>
  <c r="P60" i="13"/>
  <c r="P61" i="13"/>
  <c r="AA61" i="13" s="1"/>
  <c r="P62" i="13"/>
  <c r="AA62" i="13" s="1"/>
  <c r="P63" i="13"/>
  <c r="P64" i="13"/>
  <c r="AA64" i="13" s="1"/>
  <c r="P65" i="13"/>
  <c r="P66" i="13"/>
  <c r="AA66" i="13" s="1"/>
  <c r="P67" i="13"/>
  <c r="AA67" i="13" s="1"/>
  <c r="P68" i="13"/>
  <c r="AA68" i="13" s="1"/>
  <c r="P69" i="13"/>
  <c r="AA69" i="13" s="1"/>
  <c r="P70" i="13"/>
  <c r="AA70" i="13" s="1"/>
  <c r="P71" i="13"/>
  <c r="AA71" i="13" s="1"/>
  <c r="P72" i="13"/>
  <c r="AA72" i="13" s="1"/>
  <c r="P74" i="13"/>
  <c r="P75" i="13"/>
  <c r="AA75" i="13" s="1"/>
  <c r="P76" i="13"/>
  <c r="P77" i="13"/>
  <c r="AA77" i="13" s="1"/>
  <c r="P78" i="13"/>
  <c r="AA78" i="13" s="1"/>
  <c r="P79" i="13"/>
  <c r="AA79" i="13" s="1"/>
  <c r="P82" i="13"/>
  <c r="P83" i="13"/>
  <c r="AA83" i="13" s="1"/>
  <c r="P84" i="13"/>
  <c r="AA84" i="13" s="1"/>
  <c r="P85" i="13"/>
  <c r="AA85" i="13" s="1"/>
  <c r="P86" i="13"/>
  <c r="AA86" i="13" s="1"/>
  <c r="P87" i="13"/>
  <c r="AA87" i="13" s="1"/>
  <c r="P88" i="13"/>
  <c r="P89" i="13"/>
  <c r="AA89" i="13" s="1"/>
  <c r="P90" i="13"/>
  <c r="AA90" i="13" s="1"/>
  <c r="P91" i="13"/>
  <c r="AA91" i="13" s="1"/>
  <c r="P93" i="13"/>
  <c r="P94" i="13"/>
  <c r="AA94" i="13" s="1"/>
  <c r="P95" i="13"/>
  <c r="P96" i="13"/>
  <c r="AA96" i="13" s="1"/>
  <c r="P97" i="13"/>
  <c r="P98" i="13"/>
  <c r="P99" i="13"/>
  <c r="P100" i="13"/>
  <c r="AA100" i="13" s="1"/>
  <c r="P101" i="13"/>
  <c r="AA101" i="13" s="1"/>
  <c r="P102" i="13"/>
  <c r="P104" i="13"/>
  <c r="P105" i="13"/>
  <c r="P106" i="13"/>
  <c r="P107" i="13"/>
  <c r="P108" i="13"/>
  <c r="AA108" i="13" s="1"/>
  <c r="P109" i="13"/>
  <c r="AA109" i="13" s="1"/>
  <c r="P110" i="13"/>
  <c r="AA110" i="13" s="1"/>
  <c r="P111" i="13"/>
  <c r="P112" i="13"/>
  <c r="P113" i="13"/>
  <c r="P114" i="13"/>
  <c r="AA114" i="13" s="1"/>
  <c r="P115" i="13"/>
  <c r="AA115" i="13" s="1"/>
  <c r="P116" i="13"/>
  <c r="AA116" i="13" s="1"/>
  <c r="P117" i="13"/>
  <c r="AA117" i="13" s="1"/>
  <c r="P12" i="13"/>
  <c r="AA12" i="13" s="1"/>
  <c r="M19" i="13"/>
  <c r="M20" i="13"/>
  <c r="M21" i="13"/>
  <c r="M22" i="13"/>
  <c r="M23" i="13"/>
  <c r="M25" i="13"/>
  <c r="M26" i="13"/>
  <c r="M27" i="13"/>
  <c r="M28" i="13"/>
  <c r="M3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4" i="13"/>
  <c r="M75" i="13"/>
  <c r="M76" i="13"/>
  <c r="M77" i="13"/>
  <c r="M78" i="13"/>
  <c r="M79" i="13"/>
  <c r="M83" i="13"/>
  <c r="M84" i="13"/>
  <c r="M85" i="13"/>
  <c r="M86" i="13"/>
  <c r="M87" i="13"/>
  <c r="M88" i="13"/>
  <c r="M89" i="13"/>
  <c r="M90" i="13"/>
  <c r="M91" i="13"/>
  <c r="M93" i="13"/>
  <c r="M94" i="13"/>
  <c r="M95" i="13"/>
  <c r="M96" i="13"/>
  <c r="M97" i="13"/>
  <c r="M98" i="13"/>
  <c r="M99" i="13"/>
  <c r="M100" i="13"/>
  <c r="M101" i="13"/>
  <c r="M102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3" i="13"/>
  <c r="M14" i="13"/>
  <c r="M15" i="13"/>
  <c r="M16" i="13"/>
  <c r="M17" i="13"/>
  <c r="M18" i="13"/>
  <c r="M12" i="13"/>
  <c r="D107" i="13"/>
  <c r="K107" i="13"/>
  <c r="L107" i="13"/>
  <c r="N107" i="13"/>
  <c r="O107" i="13"/>
  <c r="Z107" i="13" s="1"/>
  <c r="Q107" i="13"/>
  <c r="AB107" i="13" s="1"/>
  <c r="R107" i="13"/>
  <c r="U107" i="13"/>
  <c r="Y107" i="13"/>
  <c r="AC107" i="13"/>
  <c r="AD107" i="13"/>
  <c r="AG107" i="13" s="1"/>
  <c r="AF107" i="13"/>
  <c r="AI107" i="13"/>
  <c r="AJ107" i="13"/>
  <c r="AL107" i="13"/>
  <c r="I116" i="8"/>
  <c r="L116" i="8" s="1"/>
  <c r="K116" i="8"/>
  <c r="N116" i="8"/>
  <c r="O116" i="8"/>
  <c r="Q116" i="8"/>
  <c r="W116" i="8"/>
  <c r="Y116" i="8"/>
  <c r="AE71" i="13" l="1"/>
  <c r="T71" i="13" s="1"/>
  <c r="AK21" i="13"/>
  <c r="AK69" i="13"/>
  <c r="AE100" i="13"/>
  <c r="T100" i="13" s="1"/>
  <c r="AE21" i="13"/>
  <c r="T21" i="13" s="1"/>
  <c r="AE86" i="13"/>
  <c r="T86" i="13" s="1"/>
  <c r="AE77" i="13"/>
  <c r="T77" i="13" s="1"/>
  <c r="AE75" i="13"/>
  <c r="T75" i="13" s="1"/>
  <c r="AK75" i="13"/>
  <c r="AE89" i="13"/>
  <c r="T89" i="13" s="1"/>
  <c r="AE103" i="13"/>
  <c r="AK103" i="13"/>
  <c r="AK94" i="13"/>
  <c r="AK90" i="13"/>
  <c r="AK77" i="13"/>
  <c r="AE73" i="13"/>
  <c r="AK73" i="13"/>
  <c r="AK58" i="13"/>
  <c r="AK57" i="13"/>
  <c r="AE64" i="13"/>
  <c r="T64" i="13" s="1"/>
  <c r="AE92" i="13"/>
  <c r="AE58" i="13"/>
  <c r="T58" i="13" s="1"/>
  <c r="AE57" i="13"/>
  <c r="T57" i="13" s="1"/>
  <c r="AK101" i="13"/>
  <c r="AK96" i="13"/>
  <c r="AE96" i="13"/>
  <c r="T96" i="13" s="1"/>
  <c r="AK91" i="13"/>
  <c r="AK84" i="13"/>
  <c r="T90" i="13"/>
  <c r="AE68" i="13"/>
  <c r="T68" i="13" s="1"/>
  <c r="AE62" i="13"/>
  <c r="T62" i="13" s="1"/>
  <c r="AK59" i="13"/>
  <c r="AE20" i="13"/>
  <c r="T20" i="13" s="1"/>
  <c r="AE117" i="13"/>
  <c r="T117" i="13" s="1"/>
  <c r="T80" i="13"/>
  <c r="AE12" i="13"/>
  <c r="T12" i="13" s="1"/>
  <c r="AE115" i="13"/>
  <c r="T115" i="13" s="1"/>
  <c r="AK85" i="13"/>
  <c r="AE114" i="13"/>
  <c r="T114" i="13" s="1"/>
  <c r="AE109" i="13"/>
  <c r="T109" i="13" s="1"/>
  <c r="AE48" i="13"/>
  <c r="T48" i="13" s="1"/>
  <c r="AE47" i="13"/>
  <c r="T47" i="13" s="1"/>
  <c r="AK80" i="13"/>
  <c r="AE49" i="13"/>
  <c r="T49" i="13" s="1"/>
  <c r="AE110" i="13"/>
  <c r="T110" i="13" s="1"/>
  <c r="AE78" i="13"/>
  <c r="T78" i="13" s="1"/>
  <c r="AE79" i="13"/>
  <c r="T79" i="13" s="1"/>
  <c r="AE81" i="13"/>
  <c r="T81" i="13" s="1"/>
  <c r="AE42" i="13"/>
  <c r="T42" i="13" s="1"/>
  <c r="AE43" i="13"/>
  <c r="T43" i="13" s="1"/>
  <c r="AE22" i="13"/>
  <c r="T22" i="13" s="1"/>
  <c r="AE66" i="13"/>
  <c r="T66" i="13" s="1"/>
  <c r="AE51" i="13"/>
  <c r="T51" i="13" s="1"/>
  <c r="AE108" i="13"/>
  <c r="T108" i="13" s="1"/>
  <c r="T116" i="13"/>
  <c r="AA7" i="13"/>
  <c r="S116" i="8"/>
  <c r="AK72" i="13"/>
  <c r="AK87" i="13"/>
  <c r="AK68" i="13"/>
  <c r="AK22" i="13"/>
  <c r="AK48" i="13"/>
  <c r="AK83" i="13"/>
  <c r="AK20" i="13"/>
  <c r="AK78" i="13"/>
  <c r="AK43" i="13"/>
  <c r="AK109" i="13"/>
  <c r="AK108" i="13"/>
  <c r="AK79" i="13"/>
  <c r="AK66" i="13"/>
  <c r="AK42" i="13"/>
  <c r="AK12" i="13"/>
  <c r="AK117" i="13"/>
  <c r="AK64" i="13"/>
  <c r="AK51" i="13"/>
  <c r="AK38" i="13"/>
  <c r="AK18" i="13"/>
  <c r="AK115" i="13"/>
  <c r="AK89" i="13"/>
  <c r="AK62" i="13"/>
  <c r="AK36" i="13"/>
  <c r="AE85" i="13"/>
  <c r="T85" i="13" s="1"/>
  <c r="AK114" i="13"/>
  <c r="AK61" i="13"/>
  <c r="AK49" i="13"/>
  <c r="AK30" i="13"/>
  <c r="AK16" i="13"/>
  <c r="AK15" i="13"/>
  <c r="AE59" i="13"/>
  <c r="T59" i="13" s="1"/>
  <c r="AK47" i="13"/>
  <c r="AK70" i="13"/>
  <c r="AK13" i="13"/>
  <c r="AK110" i="13"/>
  <c r="AK45" i="13"/>
  <c r="V116" i="8"/>
  <c r="P7" i="13"/>
  <c r="M7" i="13"/>
  <c r="R116" i="8"/>
  <c r="S107" i="13"/>
  <c r="U116" i="8"/>
  <c r="T116" i="8"/>
  <c r="D117" i="13"/>
  <c r="K117" i="13"/>
  <c r="Y117" i="13" s="1"/>
  <c r="L117" i="13"/>
  <c r="N117" i="13"/>
  <c r="O117" i="13"/>
  <c r="Q117" i="13"/>
  <c r="AB117" i="13" s="1"/>
  <c r="X92" i="8"/>
  <c r="J92" i="8"/>
  <c r="M92" i="8" s="1"/>
  <c r="I92" i="8"/>
  <c r="L92" i="8" s="1"/>
  <c r="K92" i="8"/>
  <c r="N92" i="8"/>
  <c r="O92" i="8"/>
  <c r="Q92" i="8"/>
  <c r="W92" i="8"/>
  <c r="Y92" i="8"/>
  <c r="AF92" i="13" l="1"/>
  <c r="U92" i="13" s="1"/>
  <c r="AL92" i="13"/>
  <c r="AJ92" i="13"/>
  <c r="AD92" i="13"/>
  <c r="AI92" i="13"/>
  <c r="AC92" i="13"/>
  <c r="R92" i="13" s="1"/>
  <c r="T92" i="13"/>
  <c r="T73" i="13"/>
  <c r="T103" i="13"/>
  <c r="CL6" i="15"/>
  <c r="CL13" i="15"/>
  <c r="AR14" i="13"/>
  <c r="AQ14" i="13"/>
  <c r="AP14" i="13"/>
  <c r="AO14" i="13"/>
  <c r="AE118" i="13"/>
  <c r="AK118" i="13"/>
  <c r="V92" i="8"/>
  <c r="S92" i="8"/>
  <c r="W92" i="13" s="1"/>
  <c r="T92" i="8"/>
  <c r="X92" i="13" s="1"/>
  <c r="R92" i="8"/>
  <c r="V92" i="13" s="1"/>
  <c r="Z117" i="13"/>
  <c r="U92" i="8"/>
  <c r="D86" i="13"/>
  <c r="K86" i="13"/>
  <c r="Y86" i="13" s="1"/>
  <c r="L86" i="13"/>
  <c r="N86" i="13"/>
  <c r="O86" i="13"/>
  <c r="Z86" i="13" s="1"/>
  <c r="Q86" i="13"/>
  <c r="AB86" i="13" s="1"/>
  <c r="X95" i="8"/>
  <c r="J95" i="8"/>
  <c r="M95" i="8" s="1"/>
  <c r="I95" i="8"/>
  <c r="L95" i="8" s="1"/>
  <c r="K95" i="8"/>
  <c r="N95" i="8"/>
  <c r="S95" i="8" s="1"/>
  <c r="O95" i="8"/>
  <c r="Q95" i="8"/>
  <c r="V95" i="8" s="1"/>
  <c r="W95" i="8"/>
  <c r="Y95" i="8"/>
  <c r="I96" i="8"/>
  <c r="I94" i="8"/>
  <c r="AH92" i="13" l="1"/>
  <c r="I92" i="13" s="1"/>
  <c r="J92" i="13" s="1"/>
  <c r="S92" i="13"/>
  <c r="AG92" i="13"/>
  <c r="G92" i="13" s="1"/>
  <c r="H92" i="13" s="1"/>
  <c r="AE119" i="13"/>
  <c r="T7" i="13"/>
  <c r="U95" i="8"/>
  <c r="R95" i="8"/>
  <c r="T95" i="8"/>
  <c r="D25" i="13"/>
  <c r="K25" i="13"/>
  <c r="Y25" i="13" s="1"/>
  <c r="L25" i="13"/>
  <c r="N25" i="13"/>
  <c r="O25" i="13"/>
  <c r="Z25" i="13" s="1"/>
  <c r="Q25" i="13"/>
  <c r="AB25" i="13" s="1"/>
  <c r="V25" i="13"/>
  <c r="X25" i="13"/>
  <c r="AC25" i="13"/>
  <c r="R25" i="13" s="1"/>
  <c r="AD25" i="13"/>
  <c r="S25" i="13" s="1"/>
  <c r="AF25" i="13"/>
  <c r="U25" i="13" s="1"/>
  <c r="AI25" i="13"/>
  <c r="AJ25" i="13"/>
  <c r="AL25" i="13"/>
  <c r="X25" i="8"/>
  <c r="J43" i="8"/>
  <c r="M43" i="8" s="1"/>
  <c r="J25" i="8"/>
  <c r="M25" i="8" s="1"/>
  <c r="I25" i="8"/>
  <c r="L25" i="8" s="1"/>
  <c r="K25" i="8"/>
  <c r="N25" i="8"/>
  <c r="S25" i="8" s="1"/>
  <c r="O25" i="8"/>
  <c r="Q25" i="8"/>
  <c r="V25" i="8" s="1"/>
  <c r="W25" i="8"/>
  <c r="Y25" i="8"/>
  <c r="T25" i="8" l="1"/>
  <c r="AG25" i="13"/>
  <c r="R25" i="8"/>
  <c r="U25" i="8"/>
  <c r="D102" i="13"/>
  <c r="K102" i="13"/>
  <c r="L102" i="13"/>
  <c r="N102" i="13"/>
  <c r="O102" i="13"/>
  <c r="Z102" i="13" s="1"/>
  <c r="Q102" i="13"/>
  <c r="AB102" i="13" s="1"/>
  <c r="R102" i="13"/>
  <c r="S102" i="13"/>
  <c r="U102" i="13"/>
  <c r="Y102" i="13"/>
  <c r="AC102" i="13"/>
  <c r="AD102" i="13"/>
  <c r="AF102" i="13"/>
  <c r="AG102" i="13"/>
  <c r="AI102" i="13"/>
  <c r="AJ102" i="13"/>
  <c r="AL102" i="13"/>
  <c r="X29" i="8"/>
  <c r="J29" i="8"/>
  <c r="M29" i="8" s="1"/>
  <c r="I29" i="8"/>
  <c r="L29" i="8" s="1"/>
  <c r="K29" i="8"/>
  <c r="N29" i="8"/>
  <c r="S29" i="8" s="1"/>
  <c r="O29" i="8"/>
  <c r="Q29" i="8"/>
  <c r="V29" i="8" s="1"/>
  <c r="W29" i="8"/>
  <c r="Y29" i="8"/>
  <c r="T29" i="8" l="1"/>
  <c r="R29" i="8"/>
  <c r="U29" i="8"/>
  <c r="D94" i="13"/>
  <c r="K94" i="13"/>
  <c r="Y94" i="13" s="1"/>
  <c r="L94" i="13"/>
  <c r="N94" i="13"/>
  <c r="O94" i="13"/>
  <c r="Z94" i="13" s="1"/>
  <c r="Q94" i="13"/>
  <c r="AB94" i="13" s="1"/>
  <c r="X108" i="8"/>
  <c r="J108" i="8"/>
  <c r="M108" i="8" s="1"/>
  <c r="I108" i="8"/>
  <c r="L108" i="8" s="1"/>
  <c r="K108" i="8"/>
  <c r="N108" i="8"/>
  <c r="S108" i="8" s="1"/>
  <c r="O108" i="8"/>
  <c r="Q108" i="8"/>
  <c r="V108" i="8" s="1"/>
  <c r="W108" i="8"/>
  <c r="Y108" i="8"/>
  <c r="R108" i="8" l="1"/>
  <c r="T108" i="8"/>
  <c r="U108" i="8"/>
  <c r="D55" i="13"/>
  <c r="K55" i="13"/>
  <c r="Y55" i="13" s="1"/>
  <c r="L55" i="13"/>
  <c r="N55" i="13"/>
  <c r="O55" i="13"/>
  <c r="Z55" i="13" s="1"/>
  <c r="Q55" i="13"/>
  <c r="AB55" i="13" s="1"/>
  <c r="V55" i="13"/>
  <c r="X55" i="13"/>
  <c r="AC55" i="13"/>
  <c r="R55" i="13" s="1"/>
  <c r="AD55" i="13"/>
  <c r="S55" i="13" s="1"/>
  <c r="AF55" i="13"/>
  <c r="U55" i="13" s="1"/>
  <c r="AI55" i="13"/>
  <c r="AJ55" i="13"/>
  <c r="AL55" i="13"/>
  <c r="D54" i="13"/>
  <c r="K54" i="13"/>
  <c r="Y54" i="13" s="1"/>
  <c r="L54" i="13"/>
  <c r="N54" i="13"/>
  <c r="O54" i="13"/>
  <c r="Z54" i="13" s="1"/>
  <c r="Q54" i="13"/>
  <c r="V54" i="13"/>
  <c r="X54" i="13"/>
  <c r="AB54" i="13"/>
  <c r="AC54" i="13"/>
  <c r="R54" i="13" s="1"/>
  <c r="AD54" i="13"/>
  <c r="S54" i="13" s="1"/>
  <c r="AF54" i="13"/>
  <c r="U54" i="13" s="1"/>
  <c r="AI54" i="13"/>
  <c r="AJ54" i="13"/>
  <c r="AL54" i="13"/>
  <c r="J55" i="8"/>
  <c r="M55" i="8" s="1"/>
  <c r="X54" i="8"/>
  <c r="X55" i="8"/>
  <c r="X43" i="8"/>
  <c r="J54" i="8"/>
  <c r="M54" i="8" s="1"/>
  <c r="I54" i="8"/>
  <c r="L54" i="8" s="1"/>
  <c r="K54" i="8"/>
  <c r="N54" i="8"/>
  <c r="S54" i="8" s="1"/>
  <c r="O54" i="8"/>
  <c r="Q54" i="8"/>
  <c r="V54" i="8" s="1"/>
  <c r="W54" i="8"/>
  <c r="Y54" i="8"/>
  <c r="I55" i="8"/>
  <c r="L55" i="8" s="1"/>
  <c r="K55" i="8"/>
  <c r="N55" i="8"/>
  <c r="S55" i="8" s="1"/>
  <c r="O55" i="8"/>
  <c r="Q55" i="8"/>
  <c r="V55" i="8" s="1"/>
  <c r="W55" i="8"/>
  <c r="Y55" i="8"/>
  <c r="R55" i="8" l="1"/>
  <c r="T54" i="8"/>
  <c r="AG55" i="13"/>
  <c r="AG54" i="13"/>
  <c r="T55" i="8"/>
  <c r="U54" i="8"/>
  <c r="R54" i="8"/>
  <c r="U55" i="8"/>
  <c r="D43" i="13"/>
  <c r="K43" i="13"/>
  <c r="Y43" i="13" s="1"/>
  <c r="L43" i="13"/>
  <c r="N43" i="13"/>
  <c r="O43" i="13"/>
  <c r="Z43" i="13" s="1"/>
  <c r="Q43" i="13"/>
  <c r="AB43" i="13" s="1"/>
  <c r="I43" i="8"/>
  <c r="L43" i="8" s="1"/>
  <c r="K43" i="8"/>
  <c r="N43" i="8"/>
  <c r="O43" i="8"/>
  <c r="AD43" i="13" s="1"/>
  <c r="S43" i="13" s="1"/>
  <c r="Q43" i="8"/>
  <c r="W43" i="8"/>
  <c r="Y43" i="8"/>
  <c r="AF43" i="13" l="1"/>
  <c r="AG43" i="13" s="1"/>
  <c r="G43" i="13" s="1"/>
  <c r="H43" i="13" s="1"/>
  <c r="V43" i="8"/>
  <c r="AC43" i="13"/>
  <c r="R43" i="13" s="1"/>
  <c r="S43" i="8"/>
  <c r="W43" i="13" s="1"/>
  <c r="AJ43" i="13"/>
  <c r="AI43" i="13"/>
  <c r="AL43" i="13"/>
  <c r="T43" i="8"/>
  <c r="X43" i="13" s="1"/>
  <c r="R43" i="8"/>
  <c r="V43" i="13" s="1"/>
  <c r="U43" i="8"/>
  <c r="AL98" i="13"/>
  <c r="AJ98" i="13"/>
  <c r="AI98" i="13"/>
  <c r="AF98" i="13"/>
  <c r="AD98" i="13"/>
  <c r="AC98" i="13"/>
  <c r="L98" i="13"/>
  <c r="N98" i="13"/>
  <c r="O98" i="13"/>
  <c r="Z98" i="13" s="1"/>
  <c r="Q98" i="13"/>
  <c r="AB98" i="13" s="1"/>
  <c r="K98" i="13"/>
  <c r="Y98" i="13" s="1"/>
  <c r="D98" i="13"/>
  <c r="X112" i="8"/>
  <c r="J112" i="8"/>
  <c r="M112" i="8" s="1"/>
  <c r="I112" i="8"/>
  <c r="L112" i="8" s="1"/>
  <c r="K112" i="8"/>
  <c r="N112" i="8"/>
  <c r="S112" i="8" s="1"/>
  <c r="O112" i="8"/>
  <c r="Q112" i="8"/>
  <c r="V112" i="8" s="1"/>
  <c r="W112" i="8"/>
  <c r="Y112" i="8"/>
  <c r="U43" i="13" l="1"/>
  <c r="AH43" i="13"/>
  <c r="I43" i="13" s="1"/>
  <c r="J43" i="13" s="1"/>
  <c r="R112" i="8"/>
  <c r="T112" i="8"/>
  <c r="U112" i="8"/>
  <c r="X111" i="8"/>
  <c r="J111" i="8"/>
  <c r="M111" i="8" s="1"/>
  <c r="D97" i="13"/>
  <c r="K97" i="13"/>
  <c r="Y97" i="13" s="1"/>
  <c r="L97" i="13"/>
  <c r="N97" i="13"/>
  <c r="O97" i="13"/>
  <c r="Z97" i="13" s="1"/>
  <c r="Q97" i="13"/>
  <c r="AB97" i="13" s="1"/>
  <c r="AC97" i="13"/>
  <c r="R97" i="13" s="1"/>
  <c r="AD97" i="13"/>
  <c r="AF97" i="13"/>
  <c r="U97" i="13" s="1"/>
  <c r="AI97" i="13"/>
  <c r="I111" i="8"/>
  <c r="L111" i="8" s="1"/>
  <c r="K111" i="8"/>
  <c r="N111" i="8"/>
  <c r="S111" i="8" s="1"/>
  <c r="O111" i="8"/>
  <c r="AJ97" i="13" s="1"/>
  <c r="Q111" i="8"/>
  <c r="W111" i="8"/>
  <c r="Y111" i="8"/>
  <c r="AL97" i="13" l="1"/>
  <c r="V111" i="8"/>
  <c r="R111" i="8"/>
  <c r="V97" i="13" s="1"/>
  <c r="AG97" i="13"/>
  <c r="S97" i="13"/>
  <c r="T111" i="8"/>
  <c r="X97" i="13" s="1"/>
  <c r="U111" i="8"/>
  <c r="D23" i="13"/>
  <c r="K23" i="13"/>
  <c r="Y23" i="13" s="1"/>
  <c r="L23" i="13"/>
  <c r="N23" i="13"/>
  <c r="O23" i="13"/>
  <c r="Z23" i="13" s="1"/>
  <c r="Q23" i="13"/>
  <c r="AB23" i="13" s="1"/>
  <c r="V23" i="13"/>
  <c r="X23" i="13"/>
  <c r="AC23" i="13"/>
  <c r="R23" i="13" s="1"/>
  <c r="AD23" i="13"/>
  <c r="AF23" i="13"/>
  <c r="AI23" i="13"/>
  <c r="AJ23" i="13"/>
  <c r="AL23" i="13"/>
  <c r="X24" i="8"/>
  <c r="J24" i="8"/>
  <c r="M24" i="8" s="1"/>
  <c r="I24" i="8"/>
  <c r="L24" i="8" s="1"/>
  <c r="K24" i="8"/>
  <c r="N24" i="8"/>
  <c r="S24" i="8" s="1"/>
  <c r="O24" i="8"/>
  <c r="Q24" i="8"/>
  <c r="V24" i="8" s="1"/>
  <c r="W24" i="8"/>
  <c r="Y24" i="8"/>
  <c r="U23" i="13" l="1"/>
  <c r="AH23" i="13"/>
  <c r="I23" i="13" s="1"/>
  <c r="J23" i="13" s="1"/>
  <c r="AG23" i="13"/>
  <c r="G23" i="13" s="1"/>
  <c r="H23" i="13" s="1"/>
  <c r="S23" i="13"/>
  <c r="T24" i="8"/>
  <c r="R24" i="8"/>
  <c r="U24" i="8"/>
  <c r="X21" i="8"/>
  <c r="X23" i="8"/>
  <c r="X42" i="8"/>
  <c r="X57" i="8"/>
  <c r="X58" i="8"/>
  <c r="X59" i="8"/>
  <c r="X60" i="8"/>
  <c r="X62" i="8"/>
  <c r="X44" i="8"/>
  <c r="X45" i="8"/>
  <c r="X46" i="8"/>
  <c r="X47" i="8"/>
  <c r="X48" i="8"/>
  <c r="X49" i="8"/>
  <c r="X50" i="8"/>
  <c r="X51" i="8"/>
  <c r="X52" i="8"/>
  <c r="X53" i="8"/>
  <c r="X56" i="8"/>
  <c r="X61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97" i="8"/>
  <c r="X79" i="8"/>
  <c r="X98" i="8"/>
  <c r="X99" i="8"/>
  <c r="X100" i="8"/>
  <c r="X101" i="8"/>
  <c r="X82" i="8"/>
  <c r="X83" i="8"/>
  <c r="X93" i="8"/>
  <c r="X94" i="8"/>
  <c r="X96" i="8"/>
  <c r="X102" i="8"/>
  <c r="X103" i="8"/>
  <c r="X104" i="8"/>
  <c r="X105" i="8"/>
  <c r="X107" i="8"/>
  <c r="X109" i="8"/>
  <c r="X110" i="8"/>
  <c r="X26" i="8"/>
  <c r="X27" i="8"/>
  <c r="X28" i="8"/>
  <c r="X113" i="8"/>
  <c r="X114" i="8"/>
  <c r="X115" i="8"/>
  <c r="X84" i="8"/>
  <c r="X85" i="8"/>
  <c r="X86" i="8"/>
  <c r="X117" i="8"/>
  <c r="X87" i="8"/>
  <c r="X88" i="8"/>
  <c r="X89" i="8"/>
  <c r="X90" i="8"/>
  <c r="X91" i="8"/>
  <c r="X13" i="8"/>
  <c r="X14" i="8"/>
  <c r="X15" i="8"/>
  <c r="X16" i="8"/>
  <c r="X17" i="8"/>
  <c r="X18" i="8"/>
  <c r="X20" i="8"/>
  <c r="X22" i="8"/>
  <c r="X12" i="8"/>
  <c r="J18" i="8"/>
  <c r="M18" i="8" s="1"/>
  <c r="J20" i="8"/>
  <c r="M20" i="8" s="1"/>
  <c r="J22" i="8"/>
  <c r="M22" i="8" s="1"/>
  <c r="J21" i="8"/>
  <c r="M21" i="8" s="1"/>
  <c r="J23" i="8"/>
  <c r="M23" i="8" s="1"/>
  <c r="J42" i="8"/>
  <c r="M42" i="8" s="1"/>
  <c r="J57" i="8"/>
  <c r="M57" i="8" s="1"/>
  <c r="J58" i="8"/>
  <c r="M58" i="8" s="1"/>
  <c r="J59" i="8"/>
  <c r="M59" i="8" s="1"/>
  <c r="J60" i="8"/>
  <c r="M60" i="8" s="1"/>
  <c r="J62" i="8"/>
  <c r="M62" i="8" s="1"/>
  <c r="J44" i="8"/>
  <c r="M44" i="8" s="1"/>
  <c r="J45" i="8"/>
  <c r="M45" i="8" s="1"/>
  <c r="J46" i="8"/>
  <c r="M46" i="8" s="1"/>
  <c r="J47" i="8"/>
  <c r="M47" i="8" s="1"/>
  <c r="J48" i="8"/>
  <c r="M48" i="8" s="1"/>
  <c r="J49" i="8"/>
  <c r="M49" i="8" s="1"/>
  <c r="J50" i="8"/>
  <c r="M50" i="8" s="1"/>
  <c r="J51" i="8"/>
  <c r="M51" i="8" s="1"/>
  <c r="J52" i="8"/>
  <c r="M52" i="8" s="1"/>
  <c r="J53" i="8"/>
  <c r="M53" i="8" s="1"/>
  <c r="J56" i="8"/>
  <c r="M56" i="8" s="1"/>
  <c r="J61" i="8"/>
  <c r="M61" i="8" s="1"/>
  <c r="J63" i="8"/>
  <c r="M63" i="8" s="1"/>
  <c r="J64" i="8"/>
  <c r="M64" i="8" s="1"/>
  <c r="J65" i="8"/>
  <c r="M65" i="8" s="1"/>
  <c r="J66" i="8"/>
  <c r="M66" i="8" s="1"/>
  <c r="J67" i="8"/>
  <c r="M67" i="8" s="1"/>
  <c r="J68" i="8"/>
  <c r="M68" i="8" s="1"/>
  <c r="J69" i="8"/>
  <c r="M69" i="8" s="1"/>
  <c r="J70" i="8"/>
  <c r="M70" i="8" s="1"/>
  <c r="J71" i="8"/>
  <c r="M71" i="8" s="1"/>
  <c r="J72" i="8"/>
  <c r="M72" i="8" s="1"/>
  <c r="J73" i="8"/>
  <c r="M73" i="8" s="1"/>
  <c r="J74" i="8"/>
  <c r="M74" i="8" s="1"/>
  <c r="J75" i="8"/>
  <c r="M75" i="8" s="1"/>
  <c r="J76" i="8"/>
  <c r="M76" i="8" s="1"/>
  <c r="J77" i="8"/>
  <c r="M77" i="8" s="1"/>
  <c r="J97" i="8"/>
  <c r="M97" i="8" s="1"/>
  <c r="J79" i="8"/>
  <c r="M79" i="8" s="1"/>
  <c r="J98" i="8"/>
  <c r="M98" i="8" s="1"/>
  <c r="J99" i="8"/>
  <c r="M99" i="8" s="1"/>
  <c r="J100" i="8"/>
  <c r="M100" i="8" s="1"/>
  <c r="J101" i="8"/>
  <c r="M101" i="8" s="1"/>
  <c r="J82" i="8"/>
  <c r="M82" i="8" s="1"/>
  <c r="J83" i="8"/>
  <c r="M83" i="8" s="1"/>
  <c r="J93" i="8"/>
  <c r="M93" i="8" s="1"/>
  <c r="J94" i="8"/>
  <c r="M94" i="8" s="1"/>
  <c r="J96" i="8"/>
  <c r="M96" i="8" s="1"/>
  <c r="J102" i="8"/>
  <c r="M102" i="8" s="1"/>
  <c r="J103" i="8"/>
  <c r="M103" i="8" s="1"/>
  <c r="J104" i="8"/>
  <c r="M104" i="8" s="1"/>
  <c r="J105" i="8"/>
  <c r="M105" i="8" s="1"/>
  <c r="J107" i="8"/>
  <c r="M107" i="8" s="1"/>
  <c r="J109" i="8"/>
  <c r="M109" i="8" s="1"/>
  <c r="J110" i="8"/>
  <c r="M110" i="8" s="1"/>
  <c r="J26" i="8"/>
  <c r="M26" i="8" s="1"/>
  <c r="J27" i="8"/>
  <c r="M27" i="8" s="1"/>
  <c r="J28" i="8"/>
  <c r="M28" i="8" s="1"/>
  <c r="J113" i="8"/>
  <c r="M113" i="8" s="1"/>
  <c r="J114" i="8"/>
  <c r="M114" i="8" s="1"/>
  <c r="J115" i="8"/>
  <c r="M115" i="8" s="1"/>
  <c r="J84" i="8"/>
  <c r="M84" i="8" s="1"/>
  <c r="J85" i="8"/>
  <c r="M85" i="8" s="1"/>
  <c r="J86" i="8"/>
  <c r="M86" i="8" s="1"/>
  <c r="J117" i="8"/>
  <c r="M117" i="8" s="1"/>
  <c r="J87" i="8"/>
  <c r="M87" i="8" s="1"/>
  <c r="J88" i="8"/>
  <c r="M88" i="8" s="1"/>
  <c r="J89" i="8"/>
  <c r="M89" i="8" s="1"/>
  <c r="J90" i="8"/>
  <c r="M90" i="8" s="1"/>
  <c r="J91" i="8"/>
  <c r="M91" i="8" s="1"/>
  <c r="J13" i="8"/>
  <c r="M13" i="8" s="1"/>
  <c r="J14" i="8"/>
  <c r="M14" i="8" s="1"/>
  <c r="J15" i="8"/>
  <c r="M15" i="8" s="1"/>
  <c r="J16" i="8"/>
  <c r="M16" i="8" s="1"/>
  <c r="J17" i="8"/>
  <c r="M17" i="8" s="1"/>
  <c r="J12" i="8"/>
  <c r="M12" i="8" s="1"/>
  <c r="D28" i="13" l="1"/>
  <c r="K28" i="13"/>
  <c r="Y28" i="13" s="1"/>
  <c r="L28" i="13"/>
  <c r="N28" i="13"/>
  <c r="O28" i="13"/>
  <c r="Z28" i="13" s="1"/>
  <c r="Q28" i="13"/>
  <c r="AB28" i="13" s="1"/>
  <c r="V28" i="13"/>
  <c r="X28" i="13"/>
  <c r="AC28" i="13"/>
  <c r="R28" i="13" s="1"/>
  <c r="AD28" i="13"/>
  <c r="S28" i="13" s="1"/>
  <c r="AF28" i="13"/>
  <c r="AG28" i="13" s="1"/>
  <c r="AI28" i="13"/>
  <c r="AJ28" i="13"/>
  <c r="AL28" i="13"/>
  <c r="D27" i="13"/>
  <c r="K27" i="13"/>
  <c r="Y27" i="13" s="1"/>
  <c r="L27" i="13"/>
  <c r="N27" i="13"/>
  <c r="O27" i="13"/>
  <c r="Z27" i="13" s="1"/>
  <c r="Q27" i="13"/>
  <c r="AB27" i="13" s="1"/>
  <c r="S27" i="13"/>
  <c r="V27" i="13"/>
  <c r="X27" i="13"/>
  <c r="AC27" i="13"/>
  <c r="R27" i="13" s="1"/>
  <c r="AD27" i="13"/>
  <c r="AG27" i="13" s="1"/>
  <c r="AF27" i="13"/>
  <c r="U27" i="13" s="1"/>
  <c r="AI27" i="13"/>
  <c r="AJ27" i="13"/>
  <c r="AL27" i="13"/>
  <c r="D26" i="13"/>
  <c r="K26" i="13"/>
  <c r="Y26" i="13" s="1"/>
  <c r="L26" i="13"/>
  <c r="N26" i="13"/>
  <c r="O26" i="13"/>
  <c r="Q26" i="13"/>
  <c r="V26" i="13"/>
  <c r="X26" i="13"/>
  <c r="Z26" i="13"/>
  <c r="AB26" i="13"/>
  <c r="AC26" i="13"/>
  <c r="R26" i="13" s="1"/>
  <c r="AD26" i="13"/>
  <c r="AF26" i="13"/>
  <c r="U26" i="13" s="1"/>
  <c r="AI26" i="13"/>
  <c r="AJ26" i="13"/>
  <c r="AL26" i="13"/>
  <c r="I39" i="8"/>
  <c r="L39" i="8" s="1"/>
  <c r="K39" i="8"/>
  <c r="N39" i="8"/>
  <c r="S39" i="8" s="1"/>
  <c r="O39" i="8"/>
  <c r="Q39" i="8"/>
  <c r="V39" i="8" s="1"/>
  <c r="W39" i="8"/>
  <c r="Y39" i="8"/>
  <c r="I38" i="8"/>
  <c r="L38" i="8" s="1"/>
  <c r="K38" i="8"/>
  <c r="N38" i="8"/>
  <c r="S38" i="8" s="1"/>
  <c r="O38" i="8"/>
  <c r="Q38" i="8"/>
  <c r="V38" i="8" s="1"/>
  <c r="W38" i="8"/>
  <c r="Y38" i="8"/>
  <c r="I36" i="8"/>
  <c r="L36" i="8" s="1"/>
  <c r="K36" i="8"/>
  <c r="N36" i="8"/>
  <c r="S36" i="8" s="1"/>
  <c r="O36" i="8"/>
  <c r="Q36" i="8"/>
  <c r="V36" i="8" s="1"/>
  <c r="W36" i="8"/>
  <c r="Y36" i="8"/>
  <c r="AG26" i="13" l="1"/>
  <c r="R38" i="8"/>
  <c r="U28" i="13"/>
  <c r="S26" i="13"/>
  <c r="U36" i="8"/>
  <c r="T39" i="8"/>
  <c r="R39" i="8"/>
  <c r="U38" i="8"/>
  <c r="U39" i="8"/>
  <c r="T38" i="8"/>
  <c r="R36" i="8"/>
  <c r="T36" i="8"/>
  <c r="D101" i="13"/>
  <c r="K101" i="13"/>
  <c r="Y101" i="13" s="1"/>
  <c r="L101" i="13"/>
  <c r="N101" i="13"/>
  <c r="O101" i="13"/>
  <c r="Q101" i="13"/>
  <c r="AB101" i="13" s="1"/>
  <c r="Z101" i="13"/>
  <c r="I28" i="8"/>
  <c r="L28" i="8" s="1"/>
  <c r="K28" i="8"/>
  <c r="N28" i="8"/>
  <c r="S28" i="8" s="1"/>
  <c r="O28" i="8"/>
  <c r="Q28" i="8"/>
  <c r="V28" i="8" s="1"/>
  <c r="W28" i="8"/>
  <c r="Y28" i="8"/>
  <c r="T28" i="8" l="1"/>
  <c r="R28" i="8"/>
  <c r="U28" i="8"/>
  <c r="D18" i="13"/>
  <c r="K18" i="13"/>
  <c r="Y18" i="13" s="1"/>
  <c r="L18" i="13"/>
  <c r="N18" i="13"/>
  <c r="O18" i="13"/>
  <c r="Z18" i="13" s="1"/>
  <c r="Q18" i="13"/>
  <c r="AB18" i="13" s="1"/>
  <c r="D17" i="13"/>
  <c r="K17" i="13"/>
  <c r="Y17" i="13" s="1"/>
  <c r="L17" i="13"/>
  <c r="N17" i="13"/>
  <c r="O17" i="13"/>
  <c r="Z17" i="13" s="1"/>
  <c r="Q17" i="13"/>
  <c r="AB17" i="13" s="1"/>
  <c r="V17" i="13"/>
  <c r="X17" i="13"/>
  <c r="AC17" i="13"/>
  <c r="R17" i="13" s="1"/>
  <c r="AD17" i="13"/>
  <c r="S17" i="13" s="1"/>
  <c r="AF17" i="13"/>
  <c r="U17" i="13" s="1"/>
  <c r="AI17" i="13"/>
  <c r="AJ17" i="13"/>
  <c r="AL17" i="13"/>
  <c r="I17" i="8"/>
  <c r="L17" i="8" s="1"/>
  <c r="K17" i="8"/>
  <c r="N17" i="8"/>
  <c r="S17" i="8" s="1"/>
  <c r="O17" i="8"/>
  <c r="Q17" i="8"/>
  <c r="V17" i="8" s="1"/>
  <c r="W17" i="8"/>
  <c r="Y17" i="8"/>
  <c r="I18" i="8"/>
  <c r="L18" i="8" s="1"/>
  <c r="K18" i="8"/>
  <c r="N18" i="8"/>
  <c r="O18" i="8"/>
  <c r="Q18" i="8"/>
  <c r="W18" i="8"/>
  <c r="Y18" i="8"/>
  <c r="V18" i="8" l="1"/>
  <c r="S18" i="8"/>
  <c r="R18" i="8"/>
  <c r="AG17" i="13"/>
  <c r="U18" i="8"/>
  <c r="U17" i="8"/>
  <c r="R17" i="8"/>
  <c r="T17" i="8"/>
  <c r="T18" i="8"/>
  <c r="K95" i="13"/>
  <c r="Y95" i="13" s="1"/>
  <c r="L95" i="13"/>
  <c r="N95" i="13"/>
  <c r="O95" i="13"/>
  <c r="Z95" i="13" s="1"/>
  <c r="Q95" i="13"/>
  <c r="AB95" i="13" s="1"/>
  <c r="V95" i="13"/>
  <c r="X95" i="13"/>
  <c r="AC95" i="13"/>
  <c r="R95" i="13" s="1"/>
  <c r="AD95" i="13"/>
  <c r="S95" i="13" s="1"/>
  <c r="AF95" i="13"/>
  <c r="AI95" i="13"/>
  <c r="AJ95" i="13"/>
  <c r="AL95" i="13"/>
  <c r="D95" i="13"/>
  <c r="I109" i="8"/>
  <c r="L109" i="8" s="1"/>
  <c r="K109" i="8"/>
  <c r="N109" i="8"/>
  <c r="S109" i="8" s="1"/>
  <c r="O109" i="8"/>
  <c r="Q109" i="8"/>
  <c r="V109" i="8" s="1"/>
  <c r="W109" i="8"/>
  <c r="Y109" i="8"/>
  <c r="U109" i="8" l="1"/>
  <c r="AG95" i="13"/>
  <c r="U95" i="13"/>
  <c r="R109" i="8"/>
  <c r="T109" i="8"/>
  <c r="N12" i="13"/>
  <c r="N13" i="13"/>
  <c r="N14" i="13"/>
  <c r="N15" i="13"/>
  <c r="N16" i="13"/>
  <c r="N19" i="13"/>
  <c r="N20" i="13"/>
  <c r="N21" i="13"/>
  <c r="N22" i="13"/>
  <c r="N30" i="13"/>
  <c r="N36" i="13"/>
  <c r="N38" i="13"/>
  <c r="N39" i="13"/>
  <c r="N41" i="13"/>
  <c r="N42" i="13"/>
  <c r="N44" i="13"/>
  <c r="N45" i="13"/>
  <c r="N46" i="13"/>
  <c r="N47" i="13"/>
  <c r="N48" i="13"/>
  <c r="N49" i="13"/>
  <c r="N50" i="13"/>
  <c r="N51" i="13"/>
  <c r="N52" i="13"/>
  <c r="N53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4" i="13"/>
  <c r="N75" i="13"/>
  <c r="N76" i="13"/>
  <c r="N77" i="13"/>
  <c r="N78" i="13"/>
  <c r="N79" i="13"/>
  <c r="N82" i="13"/>
  <c r="N83" i="13"/>
  <c r="N84" i="13"/>
  <c r="N85" i="13"/>
  <c r="N87" i="13"/>
  <c r="N88" i="13"/>
  <c r="N89" i="13"/>
  <c r="N90" i="13"/>
  <c r="N91" i="13"/>
  <c r="N93" i="13"/>
  <c r="N96" i="13"/>
  <c r="N99" i="13"/>
  <c r="N100" i="13"/>
  <c r="N104" i="13"/>
  <c r="N105" i="13"/>
  <c r="N106" i="13"/>
  <c r="N108" i="13"/>
  <c r="N109" i="13"/>
  <c r="N110" i="13"/>
  <c r="N111" i="13"/>
  <c r="N112" i="13"/>
  <c r="N113" i="13"/>
  <c r="N114" i="13"/>
  <c r="N115" i="13"/>
  <c r="N116" i="13"/>
  <c r="L12" i="13"/>
  <c r="L13" i="13"/>
  <c r="L14" i="13"/>
  <c r="L15" i="13"/>
  <c r="L16" i="13"/>
  <c r="L19" i="13"/>
  <c r="L20" i="13"/>
  <c r="L21" i="13"/>
  <c r="L22" i="13"/>
  <c r="L30" i="13"/>
  <c r="L36" i="13"/>
  <c r="L38" i="13"/>
  <c r="L39" i="13"/>
  <c r="L41" i="13"/>
  <c r="L42" i="13"/>
  <c r="L44" i="13"/>
  <c r="L45" i="13"/>
  <c r="L46" i="13"/>
  <c r="L47" i="13"/>
  <c r="L48" i="13"/>
  <c r="L49" i="13"/>
  <c r="L50" i="13"/>
  <c r="L51" i="13"/>
  <c r="L52" i="13"/>
  <c r="L53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4" i="13"/>
  <c r="L75" i="13"/>
  <c r="L76" i="13"/>
  <c r="L77" i="13"/>
  <c r="L78" i="13"/>
  <c r="L79" i="13"/>
  <c r="L82" i="13"/>
  <c r="L83" i="13"/>
  <c r="L84" i="13"/>
  <c r="L85" i="13"/>
  <c r="L87" i="13"/>
  <c r="L88" i="13"/>
  <c r="L89" i="13"/>
  <c r="L90" i="13"/>
  <c r="L91" i="13"/>
  <c r="L93" i="13"/>
  <c r="L96" i="13"/>
  <c r="L99" i="13"/>
  <c r="L100" i="13"/>
  <c r="L104" i="13"/>
  <c r="L105" i="13"/>
  <c r="L106" i="13"/>
  <c r="L108" i="13"/>
  <c r="L109" i="13"/>
  <c r="L110" i="13"/>
  <c r="L111" i="13"/>
  <c r="L112" i="13"/>
  <c r="L113" i="13"/>
  <c r="L114" i="13"/>
  <c r="L115" i="13"/>
  <c r="L116" i="13"/>
  <c r="L7" i="13" l="1"/>
  <c r="N7" i="13"/>
  <c r="Q47" i="13"/>
  <c r="AB47" i="13" s="1"/>
  <c r="Q48" i="13"/>
  <c r="AB48" i="13" s="1"/>
  <c r="O47" i="13"/>
  <c r="Z47" i="13" s="1"/>
  <c r="O48" i="13"/>
  <c r="Z48" i="13" s="1"/>
  <c r="K47" i="13"/>
  <c r="Y47" i="13" s="1"/>
  <c r="K48" i="13"/>
  <c r="Y48" i="13" s="1"/>
  <c r="D47" i="13"/>
  <c r="D48" i="13"/>
  <c r="I47" i="8"/>
  <c r="L47" i="8" s="1"/>
  <c r="K47" i="8"/>
  <c r="N47" i="8"/>
  <c r="O47" i="8"/>
  <c r="Q47" i="8"/>
  <c r="W47" i="8"/>
  <c r="Y47" i="8"/>
  <c r="I48" i="8"/>
  <c r="L48" i="8" s="1"/>
  <c r="K48" i="8"/>
  <c r="N48" i="8"/>
  <c r="O48" i="8"/>
  <c r="Q48" i="8"/>
  <c r="W48" i="8"/>
  <c r="Y48" i="8"/>
  <c r="V48" i="8" l="1"/>
  <c r="V47" i="8"/>
  <c r="S48" i="8"/>
  <c r="S47" i="8"/>
  <c r="CL5" i="15"/>
  <c r="CL7" i="15"/>
  <c r="R48" i="8"/>
  <c r="U47" i="8"/>
  <c r="T48" i="8"/>
  <c r="R47" i="8"/>
  <c r="U48" i="8"/>
  <c r="T47" i="8"/>
  <c r="AL56" i="13"/>
  <c r="AL60" i="13"/>
  <c r="AL63" i="13"/>
  <c r="AL65" i="13"/>
  <c r="AL67" i="13"/>
  <c r="AL74" i="13"/>
  <c r="AL82" i="13"/>
  <c r="AL88" i="13"/>
  <c r="AL106" i="13"/>
  <c r="AL111" i="13"/>
  <c r="AL116" i="13"/>
  <c r="AJ56" i="13"/>
  <c r="AJ60" i="13"/>
  <c r="AJ63" i="13"/>
  <c r="AJ65" i="13"/>
  <c r="AJ67" i="13"/>
  <c r="AJ74" i="13"/>
  <c r="AJ82" i="13"/>
  <c r="AJ88" i="13"/>
  <c r="AJ106" i="13"/>
  <c r="AJ111" i="13"/>
  <c r="AJ116" i="13"/>
  <c r="AI56" i="13"/>
  <c r="AI60" i="13"/>
  <c r="AI63" i="13"/>
  <c r="AI65" i="13"/>
  <c r="AI67" i="13"/>
  <c r="AI74" i="13"/>
  <c r="AI82" i="13"/>
  <c r="AI88" i="13"/>
  <c r="AI106" i="13"/>
  <c r="AI111" i="13"/>
  <c r="AI116" i="13"/>
  <c r="AF56" i="13"/>
  <c r="AF60" i="13"/>
  <c r="AF63" i="13"/>
  <c r="AF65" i="13"/>
  <c r="AF67" i="13"/>
  <c r="AH67" i="13" s="1"/>
  <c r="I67" i="13" s="1"/>
  <c r="J67" i="13" s="1"/>
  <c r="AF74" i="13"/>
  <c r="AF82" i="13"/>
  <c r="AF88" i="13"/>
  <c r="AF106" i="13"/>
  <c r="AF111" i="13"/>
  <c r="AF116" i="13"/>
  <c r="AH116" i="13" s="1"/>
  <c r="I116" i="13" s="1"/>
  <c r="J116" i="13" s="1"/>
  <c r="AD56" i="13"/>
  <c r="AD60" i="13"/>
  <c r="AD63" i="13"/>
  <c r="AD65" i="13"/>
  <c r="AD67" i="13"/>
  <c r="AD74" i="13"/>
  <c r="AD82" i="13"/>
  <c r="AD88" i="13"/>
  <c r="AD106" i="13"/>
  <c r="AD111" i="13"/>
  <c r="AD116" i="13"/>
  <c r="AC56" i="13"/>
  <c r="AC60" i="13"/>
  <c r="AC63" i="13"/>
  <c r="AC65" i="13"/>
  <c r="AC67" i="13"/>
  <c r="AC74" i="13"/>
  <c r="AC82" i="13"/>
  <c r="AC88" i="13"/>
  <c r="AC106" i="13"/>
  <c r="AC111" i="13"/>
  <c r="AC116" i="13"/>
  <c r="X56" i="13"/>
  <c r="X60" i="13"/>
  <c r="X63" i="13"/>
  <c r="X65" i="13"/>
  <c r="X67" i="13"/>
  <c r="X74" i="13"/>
  <c r="X82" i="13"/>
  <c r="X88" i="13"/>
  <c r="V56" i="13"/>
  <c r="V60" i="13"/>
  <c r="V63" i="13"/>
  <c r="V65" i="13"/>
  <c r="V67" i="13"/>
  <c r="V74" i="13"/>
  <c r="V82" i="13"/>
  <c r="V88" i="13"/>
  <c r="Q12" i="13"/>
  <c r="Q13" i="13"/>
  <c r="Q14" i="13"/>
  <c r="Q15" i="13"/>
  <c r="AB15" i="13" s="1"/>
  <c r="Q16" i="13"/>
  <c r="Q19" i="13"/>
  <c r="Q20" i="13"/>
  <c r="Q21" i="13"/>
  <c r="Q22" i="13"/>
  <c r="Q30" i="13"/>
  <c r="Q36" i="13"/>
  <c r="Q38" i="13"/>
  <c r="Q39" i="13"/>
  <c r="Q41" i="13"/>
  <c r="Q42" i="13"/>
  <c r="Q44" i="13"/>
  <c r="Q45" i="13"/>
  <c r="Q46" i="13"/>
  <c r="Q49" i="13"/>
  <c r="Q50" i="13"/>
  <c r="Q51" i="13"/>
  <c r="Q52" i="13"/>
  <c r="Q53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4" i="13"/>
  <c r="Q75" i="13"/>
  <c r="Q76" i="13"/>
  <c r="Q77" i="13"/>
  <c r="Q78" i="13"/>
  <c r="Q79" i="13"/>
  <c r="Q82" i="13"/>
  <c r="Q83" i="13"/>
  <c r="Q84" i="13"/>
  <c r="Q85" i="13"/>
  <c r="Q87" i="13"/>
  <c r="Q88" i="13"/>
  <c r="Q89" i="13"/>
  <c r="Q90" i="13"/>
  <c r="Q91" i="13"/>
  <c r="Q93" i="13"/>
  <c r="Q96" i="13"/>
  <c r="Q99" i="13"/>
  <c r="Q100" i="13"/>
  <c r="Q104" i="13"/>
  <c r="Q105" i="13"/>
  <c r="Q106" i="13"/>
  <c r="Q108" i="13"/>
  <c r="Q109" i="13"/>
  <c r="Q110" i="13"/>
  <c r="Q111" i="13"/>
  <c r="Q112" i="13"/>
  <c r="Q113" i="13"/>
  <c r="Q114" i="13"/>
  <c r="Q115" i="13"/>
  <c r="Q116" i="13"/>
  <c r="O12" i="13"/>
  <c r="Z12" i="13" s="1"/>
  <c r="O13" i="13"/>
  <c r="O14" i="13"/>
  <c r="O15" i="13"/>
  <c r="Z15" i="13" s="1"/>
  <c r="O16" i="13"/>
  <c r="O19" i="13"/>
  <c r="O20" i="13"/>
  <c r="O21" i="13"/>
  <c r="O22" i="13"/>
  <c r="O30" i="13"/>
  <c r="O36" i="13"/>
  <c r="O38" i="13"/>
  <c r="O39" i="13"/>
  <c r="O41" i="13"/>
  <c r="O42" i="13"/>
  <c r="O44" i="13"/>
  <c r="O45" i="13"/>
  <c r="O46" i="13"/>
  <c r="O49" i="13"/>
  <c r="O50" i="13"/>
  <c r="O51" i="13"/>
  <c r="O52" i="13"/>
  <c r="O53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4" i="13"/>
  <c r="O75" i="13"/>
  <c r="O76" i="13"/>
  <c r="O77" i="13"/>
  <c r="O78" i="13"/>
  <c r="O79" i="13"/>
  <c r="O82" i="13"/>
  <c r="O83" i="13"/>
  <c r="O84" i="13"/>
  <c r="O85" i="13"/>
  <c r="O87" i="13"/>
  <c r="O88" i="13"/>
  <c r="O89" i="13"/>
  <c r="O90" i="13"/>
  <c r="O91" i="13"/>
  <c r="O93" i="13"/>
  <c r="O96" i="13"/>
  <c r="O99" i="13"/>
  <c r="O100" i="13"/>
  <c r="O104" i="13"/>
  <c r="O105" i="13"/>
  <c r="O106" i="13"/>
  <c r="O108" i="13"/>
  <c r="O109" i="13"/>
  <c r="O110" i="13"/>
  <c r="O111" i="13"/>
  <c r="O112" i="13"/>
  <c r="O113" i="13"/>
  <c r="O114" i="13"/>
  <c r="O115" i="13"/>
  <c r="O116" i="13"/>
  <c r="D13" i="13"/>
  <c r="D14" i="13"/>
  <c r="D15" i="13"/>
  <c r="D16" i="13"/>
  <c r="D19" i="13"/>
  <c r="D20" i="13"/>
  <c r="D21" i="13"/>
  <c r="D22" i="13"/>
  <c r="D30" i="13"/>
  <c r="D36" i="13"/>
  <c r="D38" i="13"/>
  <c r="D39" i="13"/>
  <c r="D41" i="13"/>
  <c r="D42" i="13"/>
  <c r="D44" i="13"/>
  <c r="D45" i="13"/>
  <c r="D46" i="13"/>
  <c r="D49" i="13"/>
  <c r="D50" i="13"/>
  <c r="D51" i="13"/>
  <c r="D52" i="13"/>
  <c r="D53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4" i="13"/>
  <c r="D75" i="13"/>
  <c r="D76" i="13"/>
  <c r="D77" i="13"/>
  <c r="D78" i="13"/>
  <c r="D79" i="13"/>
  <c r="D82" i="13"/>
  <c r="D83" i="13"/>
  <c r="D84" i="13"/>
  <c r="D85" i="13"/>
  <c r="D87" i="13"/>
  <c r="D88" i="13"/>
  <c r="D89" i="13"/>
  <c r="D90" i="13"/>
  <c r="D91" i="13"/>
  <c r="D93" i="13"/>
  <c r="D96" i="13"/>
  <c r="D99" i="13"/>
  <c r="D100" i="13"/>
  <c r="D104" i="13"/>
  <c r="D105" i="13"/>
  <c r="D106" i="13"/>
  <c r="D108" i="13"/>
  <c r="D109" i="13"/>
  <c r="D110" i="13"/>
  <c r="D111" i="13"/>
  <c r="D112" i="13"/>
  <c r="D113" i="13"/>
  <c r="D114" i="13"/>
  <c r="D115" i="13"/>
  <c r="D116" i="13"/>
  <c r="K12" i="13"/>
  <c r="Y12" i="13" s="1"/>
  <c r="K13" i="13"/>
  <c r="K14" i="13"/>
  <c r="K15" i="13"/>
  <c r="Y15" i="13" s="1"/>
  <c r="K16" i="13"/>
  <c r="K19" i="13"/>
  <c r="K20" i="13"/>
  <c r="K21" i="13"/>
  <c r="K22" i="13"/>
  <c r="K30" i="13"/>
  <c r="K36" i="13"/>
  <c r="K38" i="13"/>
  <c r="K39" i="13"/>
  <c r="K41" i="13"/>
  <c r="K42" i="13"/>
  <c r="K44" i="13"/>
  <c r="K45" i="13"/>
  <c r="K46" i="13"/>
  <c r="K49" i="13"/>
  <c r="K50" i="13"/>
  <c r="K51" i="13"/>
  <c r="K52" i="13"/>
  <c r="K53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4" i="13"/>
  <c r="K75" i="13"/>
  <c r="K76" i="13"/>
  <c r="K77" i="13"/>
  <c r="K78" i="13"/>
  <c r="K79" i="13"/>
  <c r="K82" i="13"/>
  <c r="K83" i="13"/>
  <c r="K84" i="13"/>
  <c r="K85" i="13"/>
  <c r="K87" i="13"/>
  <c r="K88" i="13"/>
  <c r="K89" i="13"/>
  <c r="K90" i="13"/>
  <c r="K91" i="13"/>
  <c r="K93" i="13"/>
  <c r="K96" i="13"/>
  <c r="K99" i="13"/>
  <c r="K100" i="13"/>
  <c r="K104" i="13"/>
  <c r="K105" i="13"/>
  <c r="K106" i="13"/>
  <c r="K108" i="13"/>
  <c r="K109" i="13"/>
  <c r="K110" i="13"/>
  <c r="K111" i="13"/>
  <c r="K112" i="13"/>
  <c r="K113" i="13"/>
  <c r="K114" i="13"/>
  <c r="K115" i="13"/>
  <c r="K116" i="13"/>
  <c r="I15" i="8"/>
  <c r="L15" i="8" s="1"/>
  <c r="K15" i="8"/>
  <c r="N15" i="8"/>
  <c r="O15" i="8"/>
  <c r="Q15" i="8"/>
  <c r="W15" i="8"/>
  <c r="Y15" i="8"/>
  <c r="D12" i="13"/>
  <c r="D6" i="13" s="1"/>
  <c r="W12" i="8"/>
  <c r="Y12" i="8"/>
  <c r="I12" i="8"/>
  <c r="L12" i="8" s="1"/>
  <c r="K12" i="8"/>
  <c r="N12" i="8"/>
  <c r="O12" i="8"/>
  <c r="Q12" i="8"/>
  <c r="AJ12" i="13" l="1"/>
  <c r="AL12" i="13"/>
  <c r="V12" i="8"/>
  <c r="V15" i="8"/>
  <c r="S15" i="8"/>
  <c r="AI12" i="13"/>
  <c r="S12" i="8"/>
  <c r="K7" i="13"/>
  <c r="O7" i="13"/>
  <c r="AB12" i="13"/>
  <c r="Q7" i="13"/>
  <c r="AC12" i="13"/>
  <c r="R12" i="13" s="1"/>
  <c r="AD12" i="13"/>
  <c r="AF12" i="13"/>
  <c r="T15" i="8"/>
  <c r="U15" i="8"/>
  <c r="R15" i="8"/>
  <c r="R12" i="8"/>
  <c r="T12" i="8"/>
  <c r="U12" i="8"/>
  <c r="AB85" i="13"/>
  <c r="Z85" i="13"/>
  <c r="Y85" i="13"/>
  <c r="L94" i="8"/>
  <c r="K94" i="8"/>
  <c r="N94" i="8"/>
  <c r="O94" i="8"/>
  <c r="Q94" i="8"/>
  <c r="W94" i="8"/>
  <c r="Y94" i="8"/>
  <c r="AD94" i="13" l="1"/>
  <c r="AJ94" i="13"/>
  <c r="V94" i="8"/>
  <c r="AL94" i="13"/>
  <c r="AF94" i="13"/>
  <c r="S94" i="8"/>
  <c r="W94" i="13" s="1"/>
  <c r="AC94" i="13"/>
  <c r="R94" i="13" s="1"/>
  <c r="AI94" i="13"/>
  <c r="W12" i="13"/>
  <c r="X12" i="13"/>
  <c r="V12" i="13"/>
  <c r="P9" i="13"/>
  <c r="Q9" i="13"/>
  <c r="O9" i="13"/>
  <c r="U12" i="13"/>
  <c r="AH12" i="13"/>
  <c r="I12" i="13" s="1"/>
  <c r="J12" i="13" s="1"/>
  <c r="AG12" i="13"/>
  <c r="G12" i="13" s="1"/>
  <c r="H12" i="13" s="1"/>
  <c r="S12" i="13"/>
  <c r="T94" i="8"/>
  <c r="X94" i="13" s="1"/>
  <c r="R94" i="8"/>
  <c r="V94" i="13" s="1"/>
  <c r="U94" i="8"/>
  <c r="Y88" i="13"/>
  <c r="Z88" i="13"/>
  <c r="AB88" i="13"/>
  <c r="U88" i="13"/>
  <c r="R88" i="13"/>
  <c r="AG88" i="13"/>
  <c r="I102" i="8"/>
  <c r="L102" i="8" s="1"/>
  <c r="K102" i="8"/>
  <c r="N102" i="8"/>
  <c r="S102" i="8" s="1"/>
  <c r="O102" i="8"/>
  <c r="Q102" i="8"/>
  <c r="V102" i="8" s="1"/>
  <c r="W102" i="8"/>
  <c r="Y102" i="8"/>
  <c r="Y22" i="13"/>
  <c r="Z22" i="13"/>
  <c r="AB22" i="13"/>
  <c r="I23" i="8"/>
  <c r="L23" i="8" s="1"/>
  <c r="K23" i="8"/>
  <c r="N23" i="8"/>
  <c r="S23" i="8" s="1"/>
  <c r="O23" i="8"/>
  <c r="Q23" i="8"/>
  <c r="V23" i="8" s="1"/>
  <c r="W23" i="8"/>
  <c r="Y23" i="8"/>
  <c r="U94" i="13" l="1"/>
  <c r="AH94" i="13"/>
  <c r="I94" i="13" s="1"/>
  <c r="J94" i="13" s="1"/>
  <c r="S94" i="13"/>
  <c r="AG94" i="13"/>
  <c r="G94" i="13" s="1"/>
  <c r="H94" i="13" s="1"/>
  <c r="T102" i="8"/>
  <c r="S88" i="13"/>
  <c r="U102" i="8"/>
  <c r="R102" i="8"/>
  <c r="T23" i="8"/>
  <c r="R23" i="8"/>
  <c r="U23" i="8"/>
  <c r="W13" i="8"/>
  <c r="Y13" i="8"/>
  <c r="I13" i="8"/>
  <c r="L13" i="8" s="1"/>
  <c r="K13" i="8"/>
  <c r="N13" i="8"/>
  <c r="S13" i="8" s="1"/>
  <c r="O13" i="8"/>
  <c r="Q13" i="8"/>
  <c r="V13" i="8" s="1"/>
  <c r="Z13" i="13" l="1"/>
  <c r="Y13" i="13"/>
  <c r="AB13" i="13"/>
  <c r="R13" i="8"/>
  <c r="T13" i="8"/>
  <c r="U13" i="8"/>
  <c r="Z108" i="13"/>
  <c r="AB108" i="13"/>
  <c r="Y108" i="13"/>
  <c r="I84" i="8"/>
  <c r="L84" i="8" s="1"/>
  <c r="K84" i="8"/>
  <c r="N84" i="8"/>
  <c r="O84" i="8"/>
  <c r="Q84" i="8"/>
  <c r="W84" i="8"/>
  <c r="Y84" i="8"/>
  <c r="S84" i="8" l="1"/>
  <c r="V84" i="8"/>
  <c r="U84" i="8"/>
  <c r="T84" i="8"/>
  <c r="R84" i="8"/>
  <c r="Y116" i="13"/>
  <c r="Z116" i="13"/>
  <c r="AB116" i="13"/>
  <c r="R116" i="13"/>
  <c r="S116" i="13"/>
  <c r="U116" i="13"/>
  <c r="Y115" i="13"/>
  <c r="Z115" i="13"/>
  <c r="AB115" i="13"/>
  <c r="Y114" i="13"/>
  <c r="Z114" i="13"/>
  <c r="AB114" i="13"/>
  <c r="I91" i="8"/>
  <c r="L91" i="8" s="1"/>
  <c r="K91" i="8"/>
  <c r="N91" i="8"/>
  <c r="O91" i="8"/>
  <c r="Q91" i="8"/>
  <c r="W91" i="8"/>
  <c r="Y91" i="8"/>
  <c r="I90" i="8"/>
  <c r="L90" i="8" s="1"/>
  <c r="K90" i="8"/>
  <c r="N90" i="8"/>
  <c r="S90" i="8" s="1"/>
  <c r="W90" i="13" s="1"/>
  <c r="O90" i="8"/>
  <c r="Q90" i="8"/>
  <c r="V90" i="8" s="1"/>
  <c r="W90" i="8"/>
  <c r="Y90" i="8"/>
  <c r="I89" i="8"/>
  <c r="L89" i="8" s="1"/>
  <c r="K89" i="8"/>
  <c r="N89" i="8"/>
  <c r="O89" i="8"/>
  <c r="Q89" i="8"/>
  <c r="W89" i="8"/>
  <c r="Y89" i="8"/>
  <c r="W84" i="13" l="1"/>
  <c r="V89" i="8"/>
  <c r="AF15" i="13"/>
  <c r="AL15" i="13"/>
  <c r="AD15" i="13"/>
  <c r="AJ15" i="13"/>
  <c r="V91" i="8"/>
  <c r="AL13" i="13"/>
  <c r="AF13" i="13"/>
  <c r="AJ13" i="13"/>
  <c r="AD13" i="13"/>
  <c r="S91" i="8"/>
  <c r="AC13" i="13"/>
  <c r="R13" i="13" s="1"/>
  <c r="AI13" i="13"/>
  <c r="S89" i="8"/>
  <c r="AC15" i="13"/>
  <c r="R15" i="13" s="1"/>
  <c r="AI15" i="13"/>
  <c r="AD114" i="13"/>
  <c r="S114" i="13" s="1"/>
  <c r="AC114" i="13"/>
  <c r="R114" i="13" s="1"/>
  <c r="AI114" i="13"/>
  <c r="AF114" i="13"/>
  <c r="R91" i="8"/>
  <c r="V13" i="13" s="1"/>
  <c r="AG116" i="13"/>
  <c r="G116" i="13" s="1"/>
  <c r="H116" i="13" s="1"/>
  <c r="T90" i="8"/>
  <c r="T91" i="8"/>
  <c r="X13" i="13" s="1"/>
  <c r="R90" i="8"/>
  <c r="U91" i="8"/>
  <c r="U90" i="8"/>
  <c r="T89" i="8"/>
  <c r="R89" i="8"/>
  <c r="U89" i="8"/>
  <c r="Y106" i="13"/>
  <c r="Z106" i="13"/>
  <c r="AB106" i="13"/>
  <c r="R106" i="13"/>
  <c r="S106" i="13"/>
  <c r="AG106" i="13"/>
  <c r="Y105" i="13"/>
  <c r="Z105" i="13"/>
  <c r="AB105" i="13"/>
  <c r="I114" i="8"/>
  <c r="L114" i="8" s="1"/>
  <c r="K114" i="8"/>
  <c r="N114" i="8"/>
  <c r="S114" i="8" s="1"/>
  <c r="O114" i="8"/>
  <c r="AJ114" i="13" s="1"/>
  <c r="Q114" i="8"/>
  <c r="V114" i="8" s="1"/>
  <c r="W114" i="8"/>
  <c r="Y114" i="8"/>
  <c r="I115" i="8"/>
  <c r="L115" i="8" s="1"/>
  <c r="K115" i="8"/>
  <c r="N115" i="8"/>
  <c r="S115" i="8" s="1"/>
  <c r="O115" i="8"/>
  <c r="Q115" i="8"/>
  <c r="V115" i="8" s="1"/>
  <c r="W115" i="8"/>
  <c r="Y115" i="8"/>
  <c r="W13" i="13" l="1"/>
  <c r="W91" i="13"/>
  <c r="AL114" i="13"/>
  <c r="W114" i="13"/>
  <c r="W15" i="13"/>
  <c r="AG13" i="13"/>
  <c r="G13" i="13" s="1"/>
  <c r="H13" i="13" s="1"/>
  <c r="S13" i="13"/>
  <c r="AH13" i="13"/>
  <c r="I13" i="13" s="1"/>
  <c r="J13" i="13" s="1"/>
  <c r="U13" i="13"/>
  <c r="X15" i="13"/>
  <c r="S15" i="13"/>
  <c r="AG15" i="13"/>
  <c r="G15" i="13" s="1"/>
  <c r="H15" i="13" s="1"/>
  <c r="V15" i="13"/>
  <c r="AH15" i="13"/>
  <c r="I15" i="13" s="1"/>
  <c r="J15" i="13" s="1"/>
  <c r="U15" i="13"/>
  <c r="U114" i="13"/>
  <c r="AH114" i="13"/>
  <c r="I114" i="13" s="1"/>
  <c r="J114" i="13" s="1"/>
  <c r="AF105" i="13"/>
  <c r="U105" i="13" s="1"/>
  <c r="AL105" i="13"/>
  <c r="AD105" i="13"/>
  <c r="S105" i="13" s="1"/>
  <c r="AJ105" i="13"/>
  <c r="AI105" i="13"/>
  <c r="AC105" i="13"/>
  <c r="R105" i="13" s="1"/>
  <c r="AG114" i="13"/>
  <c r="G114" i="13" s="1"/>
  <c r="H114" i="13" s="1"/>
  <c r="R114" i="8"/>
  <c r="V114" i="13" s="1"/>
  <c r="U106" i="13"/>
  <c r="U115" i="8"/>
  <c r="T114" i="8"/>
  <c r="X114" i="13" s="1"/>
  <c r="U114" i="8"/>
  <c r="T115" i="8"/>
  <c r="R115" i="8"/>
  <c r="Y20" i="13"/>
  <c r="Z20" i="13"/>
  <c r="AB20" i="13"/>
  <c r="I22" i="8"/>
  <c r="L22" i="8" s="1"/>
  <c r="K22" i="8"/>
  <c r="N22" i="8"/>
  <c r="O22" i="8"/>
  <c r="Q22" i="8"/>
  <c r="W22" i="8"/>
  <c r="Y22" i="8"/>
  <c r="Y19" i="13"/>
  <c r="Z19" i="13"/>
  <c r="AB19" i="13"/>
  <c r="I20" i="8"/>
  <c r="L20" i="8" s="1"/>
  <c r="K20" i="8"/>
  <c r="N20" i="8"/>
  <c r="S20" i="8" s="1"/>
  <c r="O20" i="8"/>
  <c r="Q20" i="8"/>
  <c r="V20" i="8" s="1"/>
  <c r="W20" i="8"/>
  <c r="Y20" i="8"/>
  <c r="Q14" i="8"/>
  <c r="Q16" i="8"/>
  <c r="V16" i="8" s="1"/>
  <c r="Q21" i="8"/>
  <c r="V21" i="8" s="1"/>
  <c r="Q42" i="8"/>
  <c r="V42" i="8" s="1"/>
  <c r="Q57" i="8"/>
  <c r="V57" i="8" s="1"/>
  <c r="Q58" i="8"/>
  <c r="Q59" i="8"/>
  <c r="V59" i="8" s="1"/>
  <c r="Q60" i="8"/>
  <c r="V60" i="8" s="1"/>
  <c r="Q62" i="8"/>
  <c r="V62" i="8" s="1"/>
  <c r="Q44" i="8"/>
  <c r="V44" i="8" s="1"/>
  <c r="Q45" i="8"/>
  <c r="V45" i="8" s="1"/>
  <c r="Q46" i="8"/>
  <c r="V46" i="8" s="1"/>
  <c r="Q49" i="8"/>
  <c r="V49" i="8" s="1"/>
  <c r="Q50" i="8"/>
  <c r="V50" i="8" s="1"/>
  <c r="Q51" i="8"/>
  <c r="V51" i="8" s="1"/>
  <c r="Q52" i="8"/>
  <c r="Q53" i="8"/>
  <c r="V53" i="8" s="1"/>
  <c r="Q56" i="8"/>
  <c r="Q61" i="8"/>
  <c r="Q63" i="8"/>
  <c r="V63" i="8" s="1"/>
  <c r="Q64" i="8"/>
  <c r="V64" i="8" s="1"/>
  <c r="Q65" i="8"/>
  <c r="V65" i="8" s="1"/>
  <c r="Q66" i="8"/>
  <c r="V66" i="8" s="1"/>
  <c r="Q67" i="8"/>
  <c r="V67" i="8" s="1"/>
  <c r="Q68" i="8"/>
  <c r="V68" i="8" s="1"/>
  <c r="Q69" i="8"/>
  <c r="Q70" i="8"/>
  <c r="V70" i="8" s="1"/>
  <c r="Q71" i="8"/>
  <c r="Q72" i="8"/>
  <c r="V72" i="8" s="1"/>
  <c r="Q73" i="8"/>
  <c r="Q74" i="8"/>
  <c r="V74" i="8" s="1"/>
  <c r="Q75" i="8"/>
  <c r="V75" i="8" s="1"/>
  <c r="Q76" i="8"/>
  <c r="V76" i="8" s="1"/>
  <c r="Q77" i="8"/>
  <c r="V77" i="8" s="1"/>
  <c r="Q97" i="8"/>
  <c r="V97" i="8" s="1"/>
  <c r="Q79" i="8"/>
  <c r="V79" i="8" s="1"/>
  <c r="Q98" i="8"/>
  <c r="V98" i="8" s="1"/>
  <c r="Q99" i="8"/>
  <c r="V99" i="8" s="1"/>
  <c r="Q100" i="8"/>
  <c r="V100" i="8" s="1"/>
  <c r="Q101" i="8"/>
  <c r="Q82" i="8"/>
  <c r="V82" i="8" s="1"/>
  <c r="Q83" i="8"/>
  <c r="V83" i="8" s="1"/>
  <c r="Q93" i="8"/>
  <c r="V93" i="8" s="1"/>
  <c r="Q96" i="8"/>
  <c r="Q103" i="8"/>
  <c r="Q104" i="8"/>
  <c r="Q105" i="8"/>
  <c r="V105" i="8" s="1"/>
  <c r="Q107" i="8"/>
  <c r="V107" i="8" s="1"/>
  <c r="Q110" i="8"/>
  <c r="V110" i="8" s="1"/>
  <c r="Q26" i="8"/>
  <c r="V26" i="8" s="1"/>
  <c r="Q27" i="8"/>
  <c r="V27" i="8" s="1"/>
  <c r="Q113" i="8"/>
  <c r="V113" i="8" s="1"/>
  <c r="Q85" i="8"/>
  <c r="Q86" i="8"/>
  <c r="Q117" i="8"/>
  <c r="Q87" i="8"/>
  <c r="V87" i="8" s="1"/>
  <c r="Q88" i="8"/>
  <c r="V88" i="8" s="1"/>
  <c r="O14" i="8"/>
  <c r="O16" i="8"/>
  <c r="O21" i="8"/>
  <c r="O42" i="8"/>
  <c r="O57" i="8"/>
  <c r="O58" i="8"/>
  <c r="O59" i="8"/>
  <c r="O60" i="8"/>
  <c r="O62" i="8"/>
  <c r="O44" i="8"/>
  <c r="O45" i="8"/>
  <c r="O46" i="8"/>
  <c r="O49" i="8"/>
  <c r="O50" i="8"/>
  <c r="O51" i="8"/>
  <c r="O52" i="8"/>
  <c r="O53" i="8"/>
  <c r="O56" i="8"/>
  <c r="O61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97" i="8"/>
  <c r="O79" i="8"/>
  <c r="O98" i="8"/>
  <c r="O99" i="8"/>
  <c r="O100" i="8"/>
  <c r="O101" i="8"/>
  <c r="O82" i="8"/>
  <c r="O83" i="8"/>
  <c r="O93" i="8"/>
  <c r="O96" i="8"/>
  <c r="O103" i="8"/>
  <c r="O104" i="8"/>
  <c r="O105" i="8"/>
  <c r="O107" i="8"/>
  <c r="O110" i="8"/>
  <c r="O26" i="8"/>
  <c r="O27" i="8"/>
  <c r="O113" i="8"/>
  <c r="O85" i="8"/>
  <c r="O86" i="8"/>
  <c r="O117" i="8"/>
  <c r="O87" i="8"/>
  <c r="O88" i="8"/>
  <c r="N14" i="8"/>
  <c r="N16" i="8"/>
  <c r="S16" i="8" s="1"/>
  <c r="W16" i="13" s="1"/>
  <c r="N21" i="8"/>
  <c r="S21" i="8" s="1"/>
  <c r="N42" i="8"/>
  <c r="S42" i="8" s="1"/>
  <c r="N57" i="8"/>
  <c r="S57" i="8" s="1"/>
  <c r="W57" i="13" s="1"/>
  <c r="N58" i="8"/>
  <c r="N59" i="8"/>
  <c r="S59" i="8" s="1"/>
  <c r="N60" i="8"/>
  <c r="S60" i="8" s="1"/>
  <c r="N62" i="8"/>
  <c r="S62" i="8" s="1"/>
  <c r="W42" i="13" s="1"/>
  <c r="N44" i="8"/>
  <c r="S44" i="8" s="1"/>
  <c r="N45" i="8"/>
  <c r="S45" i="8" s="1"/>
  <c r="W45" i="13" s="1"/>
  <c r="N46" i="8"/>
  <c r="S46" i="8" s="1"/>
  <c r="N49" i="8"/>
  <c r="S49" i="8" s="1"/>
  <c r="W49" i="13" s="1"/>
  <c r="N50" i="8"/>
  <c r="S50" i="8" s="1"/>
  <c r="N51" i="8"/>
  <c r="S51" i="8" s="1"/>
  <c r="W51" i="13" s="1"/>
  <c r="N52" i="8"/>
  <c r="N53" i="8"/>
  <c r="S53" i="8" s="1"/>
  <c r="N56" i="8"/>
  <c r="N61" i="8"/>
  <c r="N63" i="8"/>
  <c r="S63" i="8" s="1"/>
  <c r="N64" i="8"/>
  <c r="S64" i="8" s="1"/>
  <c r="W59" i="13" s="1"/>
  <c r="N65" i="8"/>
  <c r="S65" i="8" s="1"/>
  <c r="N66" i="8"/>
  <c r="S66" i="8" s="1"/>
  <c r="N67" i="8"/>
  <c r="S67" i="8" s="1"/>
  <c r="N68" i="8"/>
  <c r="S68" i="8" s="1"/>
  <c r="N69" i="8"/>
  <c r="N70" i="8"/>
  <c r="S70" i="8" s="1"/>
  <c r="N71" i="8"/>
  <c r="N72" i="8"/>
  <c r="S72" i="8" s="1"/>
  <c r="N73" i="8"/>
  <c r="N74" i="8"/>
  <c r="S74" i="8" s="1"/>
  <c r="N75" i="8"/>
  <c r="S75" i="8" s="1"/>
  <c r="W75" i="13" s="1"/>
  <c r="N76" i="8"/>
  <c r="S76" i="8" s="1"/>
  <c r="N77" i="8"/>
  <c r="S77" i="8" s="1"/>
  <c r="W77" i="13" s="1"/>
  <c r="N97" i="8"/>
  <c r="S97" i="8" s="1"/>
  <c r="N79" i="8"/>
  <c r="S79" i="8" s="1"/>
  <c r="N98" i="8"/>
  <c r="S98" i="8" s="1"/>
  <c r="N99" i="8"/>
  <c r="S99" i="8" s="1"/>
  <c r="N100" i="8"/>
  <c r="S100" i="8" s="1"/>
  <c r="W100" i="13" s="1"/>
  <c r="N101" i="8"/>
  <c r="N82" i="8"/>
  <c r="S82" i="8" s="1"/>
  <c r="N83" i="8"/>
  <c r="S83" i="8" s="1"/>
  <c r="W83" i="13" s="1"/>
  <c r="N93" i="8"/>
  <c r="S93" i="8" s="1"/>
  <c r="N96" i="8"/>
  <c r="N103" i="8"/>
  <c r="N104" i="8"/>
  <c r="N105" i="8"/>
  <c r="S105" i="8" s="1"/>
  <c r="N107" i="8"/>
  <c r="S107" i="8" s="1"/>
  <c r="N110" i="8"/>
  <c r="S110" i="8" s="1"/>
  <c r="N26" i="8"/>
  <c r="S26" i="8" s="1"/>
  <c r="N27" i="8"/>
  <c r="S27" i="8" s="1"/>
  <c r="N113" i="8"/>
  <c r="S113" i="8" s="1"/>
  <c r="N85" i="8"/>
  <c r="N86" i="8"/>
  <c r="N117" i="8"/>
  <c r="N87" i="8"/>
  <c r="S87" i="8" s="1"/>
  <c r="N88" i="8"/>
  <c r="S88" i="8" s="1"/>
  <c r="K14" i="8"/>
  <c r="K16" i="8"/>
  <c r="K21" i="8"/>
  <c r="K42" i="8"/>
  <c r="K57" i="8"/>
  <c r="K58" i="8"/>
  <c r="K59" i="8"/>
  <c r="K60" i="8"/>
  <c r="K62" i="8"/>
  <c r="K44" i="8"/>
  <c r="K45" i="8"/>
  <c r="K46" i="8"/>
  <c r="K49" i="8"/>
  <c r="K50" i="8"/>
  <c r="K51" i="8"/>
  <c r="K52" i="8"/>
  <c r="K53" i="8"/>
  <c r="K56" i="8"/>
  <c r="K61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97" i="8"/>
  <c r="K79" i="8"/>
  <c r="K98" i="8"/>
  <c r="K99" i="8"/>
  <c r="K100" i="8"/>
  <c r="K101" i="8"/>
  <c r="K82" i="8"/>
  <c r="K83" i="8"/>
  <c r="K93" i="8"/>
  <c r="K96" i="8"/>
  <c r="K103" i="8"/>
  <c r="K104" i="8"/>
  <c r="K105" i="8"/>
  <c r="K107" i="8"/>
  <c r="K110" i="8"/>
  <c r="K26" i="8"/>
  <c r="K27" i="8"/>
  <c r="K113" i="8"/>
  <c r="K85" i="8"/>
  <c r="K86" i="8"/>
  <c r="K117" i="8"/>
  <c r="K87" i="8"/>
  <c r="K88" i="8"/>
  <c r="W62" i="13" l="1"/>
  <c r="AJ22" i="13"/>
  <c r="AD22" i="13"/>
  <c r="V22" i="8"/>
  <c r="AF22" i="13"/>
  <c r="AL22" i="13"/>
  <c r="S22" i="8"/>
  <c r="AC22" i="13"/>
  <c r="R22" i="13" s="1"/>
  <c r="AI22" i="13"/>
  <c r="S73" i="8"/>
  <c r="W73" i="13" s="1"/>
  <c r="AI73" i="13"/>
  <c r="AC73" i="13"/>
  <c r="R73" i="13" s="1"/>
  <c r="S71" i="8"/>
  <c r="W71" i="13" s="1"/>
  <c r="AC71" i="13"/>
  <c r="AI71" i="13"/>
  <c r="V73" i="8"/>
  <c r="AL73" i="13"/>
  <c r="AF73" i="13"/>
  <c r="S69" i="8"/>
  <c r="AC69" i="13"/>
  <c r="AI69" i="13"/>
  <c r="AJ86" i="13"/>
  <c r="AD86" i="13"/>
  <c r="V69" i="8"/>
  <c r="AF69" i="13"/>
  <c r="AH69" i="13" s="1"/>
  <c r="I69" i="13" s="1"/>
  <c r="J69" i="13" s="1"/>
  <c r="AL69" i="13"/>
  <c r="V96" i="8"/>
  <c r="AF96" i="13"/>
  <c r="AH96" i="13" s="1"/>
  <c r="I96" i="13" s="1"/>
  <c r="J96" i="13" s="1"/>
  <c r="AL96" i="13"/>
  <c r="AJ71" i="13"/>
  <c r="AD71" i="13"/>
  <c r="V71" i="8"/>
  <c r="AF71" i="13"/>
  <c r="AH71" i="13" s="1"/>
  <c r="I71" i="13" s="1"/>
  <c r="J71" i="13" s="1"/>
  <c r="AL71" i="13"/>
  <c r="AJ96" i="13"/>
  <c r="AD96" i="13"/>
  <c r="AD73" i="13"/>
  <c r="AJ73" i="13"/>
  <c r="S86" i="8"/>
  <c r="AI86" i="13"/>
  <c r="AC86" i="13"/>
  <c r="R86" i="13" s="1"/>
  <c r="AJ69" i="13"/>
  <c r="AD69" i="13"/>
  <c r="AD103" i="13"/>
  <c r="AJ103" i="13"/>
  <c r="AJ101" i="13"/>
  <c r="AD101" i="13"/>
  <c r="V101" i="8"/>
  <c r="AL101" i="13"/>
  <c r="AF101" i="13"/>
  <c r="S58" i="8"/>
  <c r="AC58" i="13"/>
  <c r="R58" i="13" s="1"/>
  <c r="AI58" i="13"/>
  <c r="V86" i="8"/>
  <c r="AL86" i="13"/>
  <c r="AF86" i="13"/>
  <c r="S96" i="8"/>
  <c r="W96" i="13" s="1"/>
  <c r="AC96" i="13"/>
  <c r="R96" i="13" s="1"/>
  <c r="AI96" i="13"/>
  <c r="AF103" i="13"/>
  <c r="AL103" i="13"/>
  <c r="AJ58" i="13"/>
  <c r="AD58" i="13"/>
  <c r="AC103" i="13"/>
  <c r="R103" i="13" s="1"/>
  <c r="AI103" i="13"/>
  <c r="S101" i="8"/>
  <c r="W101" i="13" s="1"/>
  <c r="AC101" i="13"/>
  <c r="R101" i="13" s="1"/>
  <c r="AI101" i="13"/>
  <c r="V58" i="8"/>
  <c r="AF58" i="13"/>
  <c r="AH58" i="13" s="1"/>
  <c r="I58" i="13" s="1"/>
  <c r="J58" i="13" s="1"/>
  <c r="AL58" i="13"/>
  <c r="AL117" i="13"/>
  <c r="AF117" i="13"/>
  <c r="AC117" i="13"/>
  <c r="R117" i="13" s="1"/>
  <c r="AI117" i="13"/>
  <c r="AJ117" i="13"/>
  <c r="AD117" i="13"/>
  <c r="W87" i="13"/>
  <c r="W20" i="13"/>
  <c r="W70" i="13"/>
  <c r="S117" i="8"/>
  <c r="AC18" i="13"/>
  <c r="R18" i="13" s="1"/>
  <c r="AI18" i="13"/>
  <c r="S61" i="8"/>
  <c r="W80" i="13" s="1"/>
  <c r="AI80" i="13"/>
  <c r="AC80" i="13"/>
  <c r="R80" i="13" s="1"/>
  <c r="V117" i="8"/>
  <c r="AL18" i="13"/>
  <c r="AF18" i="13"/>
  <c r="S103" i="8"/>
  <c r="W103" i="13" s="1"/>
  <c r="AC48" i="13"/>
  <c r="R48" i="13" s="1"/>
  <c r="AI48" i="13"/>
  <c r="AJ48" i="13"/>
  <c r="AD48" i="13"/>
  <c r="V14" i="8"/>
  <c r="AL115" i="13"/>
  <c r="AF115" i="13"/>
  <c r="W79" i="13"/>
  <c r="S104" i="8"/>
  <c r="W47" i="13" s="1"/>
  <c r="AC47" i="13"/>
  <c r="R47" i="13" s="1"/>
  <c r="AI47" i="13"/>
  <c r="V103" i="8"/>
  <c r="AL48" i="13"/>
  <c r="AF48" i="13"/>
  <c r="AJ47" i="13"/>
  <c r="AD47" i="13"/>
  <c r="W30" i="13"/>
  <c r="S56" i="8"/>
  <c r="W81" i="13" s="1"/>
  <c r="AC81" i="13"/>
  <c r="R81" i="13" s="1"/>
  <c r="AI81" i="13"/>
  <c r="V56" i="8"/>
  <c r="AF81" i="13"/>
  <c r="AL81" i="13"/>
  <c r="W78" i="13"/>
  <c r="AD18" i="13"/>
  <c r="S18" i="13" s="1"/>
  <c r="AJ18" i="13"/>
  <c r="AJ80" i="13"/>
  <c r="AD80" i="13"/>
  <c r="V61" i="8"/>
  <c r="AF80" i="13"/>
  <c r="AL80" i="13"/>
  <c r="V104" i="8"/>
  <c r="AL47" i="13"/>
  <c r="AF47" i="13"/>
  <c r="W72" i="13"/>
  <c r="W68" i="13"/>
  <c r="S52" i="8"/>
  <c r="AC85" i="13"/>
  <c r="R85" i="13" s="1"/>
  <c r="AI85" i="13"/>
  <c r="S14" i="8"/>
  <c r="W115" i="13" s="1"/>
  <c r="AI115" i="13"/>
  <c r="AC115" i="13"/>
  <c r="R115" i="13" s="1"/>
  <c r="AD81" i="13"/>
  <c r="AJ81" i="13"/>
  <c r="AJ85" i="13"/>
  <c r="AD85" i="13"/>
  <c r="V52" i="8"/>
  <c r="AL85" i="13"/>
  <c r="AF85" i="13"/>
  <c r="W36" i="13"/>
  <c r="W66" i="13"/>
  <c r="AD115" i="13"/>
  <c r="AJ115" i="13"/>
  <c r="V85" i="8"/>
  <c r="AL108" i="13"/>
  <c r="AF108" i="13"/>
  <c r="S85" i="8"/>
  <c r="AC108" i="13"/>
  <c r="R108" i="13" s="1"/>
  <c r="AI108" i="13"/>
  <c r="AD108" i="13"/>
  <c r="AJ108" i="13"/>
  <c r="AL59" i="13"/>
  <c r="AF59" i="13"/>
  <c r="AJ59" i="13"/>
  <c r="AD59" i="13"/>
  <c r="S59" i="13" s="1"/>
  <c r="AC59" i="13"/>
  <c r="R59" i="13" s="1"/>
  <c r="AI59" i="13"/>
  <c r="AI109" i="13"/>
  <c r="AC109" i="13"/>
  <c r="R109" i="13" s="1"/>
  <c r="AF109" i="13"/>
  <c r="AH109" i="13" s="1"/>
  <c r="I109" i="13" s="1"/>
  <c r="J109" i="13" s="1"/>
  <c r="AL109" i="13"/>
  <c r="AD109" i="13"/>
  <c r="S109" i="13" s="1"/>
  <c r="AJ109" i="13"/>
  <c r="R98" i="13"/>
  <c r="U98" i="13"/>
  <c r="AG105" i="13"/>
  <c r="AC45" i="13"/>
  <c r="AI45" i="13"/>
  <c r="AD112" i="13"/>
  <c r="S112" i="13" s="1"/>
  <c r="AJ112" i="13"/>
  <c r="AF110" i="13"/>
  <c r="AL110" i="13"/>
  <c r="AC113" i="13"/>
  <c r="R113" i="13" s="1"/>
  <c r="AI113" i="13"/>
  <c r="AL38" i="13"/>
  <c r="AF38" i="13"/>
  <c r="AC112" i="13"/>
  <c r="R112" i="13" s="1"/>
  <c r="AI112" i="13"/>
  <c r="AJ110" i="13"/>
  <c r="AD110" i="13"/>
  <c r="S110" i="13" s="1"/>
  <c r="AL30" i="13"/>
  <c r="AF30" i="13"/>
  <c r="AC49" i="13"/>
  <c r="AI49" i="13"/>
  <c r="AD45" i="13"/>
  <c r="AJ45" i="13"/>
  <c r="AC38" i="13"/>
  <c r="R38" i="13" s="1"/>
  <c r="AI38" i="13"/>
  <c r="AD30" i="13"/>
  <c r="S30" i="13" s="1"/>
  <c r="AJ30" i="13"/>
  <c r="AD38" i="13"/>
  <c r="AJ38" i="13"/>
  <c r="AC110" i="13"/>
  <c r="R110" i="13" s="1"/>
  <c r="AI110" i="13"/>
  <c r="AF49" i="13"/>
  <c r="AH49" i="13" s="1"/>
  <c r="I49" i="13" s="1"/>
  <c r="J49" i="13" s="1"/>
  <c r="AL49" i="13"/>
  <c r="AD113" i="13"/>
  <c r="AJ113" i="13"/>
  <c r="AC30" i="13"/>
  <c r="R30" i="13" s="1"/>
  <c r="AI30" i="13"/>
  <c r="AD49" i="13"/>
  <c r="AJ49" i="13"/>
  <c r="AF45" i="13"/>
  <c r="AH45" i="13" s="1"/>
  <c r="I45" i="13" s="1"/>
  <c r="J45" i="13" s="1"/>
  <c r="AL45" i="13"/>
  <c r="AL113" i="13"/>
  <c r="AF113" i="13"/>
  <c r="U113" i="13" s="1"/>
  <c r="AF112" i="13"/>
  <c r="U112" i="13" s="1"/>
  <c r="AL112" i="13"/>
  <c r="AI89" i="13"/>
  <c r="AC89" i="13"/>
  <c r="AJ70" i="13"/>
  <c r="AD70" i="13"/>
  <c r="AL83" i="13"/>
  <c r="AF83" i="13"/>
  <c r="AH83" i="13" s="1"/>
  <c r="I83" i="13" s="1"/>
  <c r="J83" i="13" s="1"/>
  <c r="AI70" i="13"/>
  <c r="AC70" i="13"/>
  <c r="R70" i="13" s="1"/>
  <c r="AI41" i="13"/>
  <c r="AC41" i="13"/>
  <c r="AJ83" i="13"/>
  <c r="AD83" i="13"/>
  <c r="AJ68" i="13"/>
  <c r="AD68" i="13"/>
  <c r="AF100" i="13"/>
  <c r="AH100" i="13" s="1"/>
  <c r="I100" i="13" s="1"/>
  <c r="J100" i="13" s="1"/>
  <c r="AL100" i="13"/>
  <c r="AF79" i="13"/>
  <c r="AL79" i="13"/>
  <c r="AF66" i="13"/>
  <c r="AL66" i="13"/>
  <c r="AF52" i="13"/>
  <c r="AL52" i="13"/>
  <c r="AI87" i="13"/>
  <c r="AC87" i="13"/>
  <c r="AI42" i="13"/>
  <c r="AC42" i="13"/>
  <c r="AJ57" i="13"/>
  <c r="AD57" i="13"/>
  <c r="S57" i="13" s="1"/>
  <c r="AI39" i="13"/>
  <c r="AC39" i="13"/>
  <c r="AD36" i="13"/>
  <c r="AJ36" i="13"/>
  <c r="AL21" i="13"/>
  <c r="AF21" i="13"/>
  <c r="AH21" i="13" s="1"/>
  <c r="I21" i="13" s="1"/>
  <c r="J21" i="13" s="1"/>
  <c r="AI83" i="13"/>
  <c r="AC83" i="13"/>
  <c r="AI68" i="13"/>
  <c r="AC68" i="13"/>
  <c r="R68" i="13" s="1"/>
  <c r="AD100" i="13"/>
  <c r="AJ100" i="13"/>
  <c r="AD79" i="13"/>
  <c r="S79" i="13" s="1"/>
  <c r="AJ79" i="13"/>
  <c r="AD66" i="13"/>
  <c r="S66" i="13" s="1"/>
  <c r="AJ66" i="13"/>
  <c r="AD52" i="13"/>
  <c r="AJ52" i="13"/>
  <c r="AL77" i="13"/>
  <c r="AF77" i="13"/>
  <c r="AH77" i="13" s="1"/>
  <c r="I77" i="13" s="1"/>
  <c r="J77" i="13" s="1"/>
  <c r="AL64" i="13"/>
  <c r="AF64" i="13"/>
  <c r="AL50" i="13"/>
  <c r="AF50" i="13"/>
  <c r="AL16" i="13"/>
  <c r="AF16" i="13"/>
  <c r="AH16" i="13" s="1"/>
  <c r="I16" i="13" s="1"/>
  <c r="J16" i="13" s="1"/>
  <c r="AL104" i="13"/>
  <c r="AF104" i="13"/>
  <c r="AI57" i="13"/>
  <c r="AC57" i="13"/>
  <c r="R57" i="13" s="1"/>
  <c r="AL51" i="13"/>
  <c r="AF51" i="13"/>
  <c r="AH51" i="13" s="1"/>
  <c r="I51" i="13" s="1"/>
  <c r="J51" i="13" s="1"/>
  <c r="AI104" i="13"/>
  <c r="AC104" i="13"/>
  <c r="AC36" i="13"/>
  <c r="AI36" i="13"/>
  <c r="AD99" i="13"/>
  <c r="AJ99" i="13"/>
  <c r="AD78" i="13"/>
  <c r="AJ78" i="13"/>
  <c r="AD51" i="13"/>
  <c r="AJ51" i="13"/>
  <c r="AJ21" i="13"/>
  <c r="AD21" i="13"/>
  <c r="AL93" i="13"/>
  <c r="AF93" i="13"/>
  <c r="AL76" i="13"/>
  <c r="AF76" i="13"/>
  <c r="AL14" i="13"/>
  <c r="AF14" i="13"/>
  <c r="AJ41" i="13"/>
  <c r="AD41" i="13"/>
  <c r="AJ84" i="13"/>
  <c r="AD84" i="13"/>
  <c r="AF36" i="13"/>
  <c r="AH36" i="13" s="1"/>
  <c r="I36" i="13" s="1"/>
  <c r="J36" i="13" s="1"/>
  <c r="AL36" i="13"/>
  <c r="AI84" i="13"/>
  <c r="AC84" i="13"/>
  <c r="AJ104" i="13"/>
  <c r="AD104" i="13"/>
  <c r="AL78" i="13"/>
  <c r="AF78" i="13"/>
  <c r="AH78" i="13" s="1"/>
  <c r="I78" i="13" s="1"/>
  <c r="J78" i="13" s="1"/>
  <c r="AC53" i="13"/>
  <c r="R53" i="13" s="1"/>
  <c r="AI53" i="13"/>
  <c r="AC100" i="13"/>
  <c r="AI100" i="13"/>
  <c r="AC79" i="13"/>
  <c r="R79" i="13" s="1"/>
  <c r="AI79" i="13"/>
  <c r="AC66" i="13"/>
  <c r="R66" i="13" s="1"/>
  <c r="AI66" i="13"/>
  <c r="AC52" i="13"/>
  <c r="AI52" i="13"/>
  <c r="AJ77" i="13"/>
  <c r="AD77" i="13"/>
  <c r="AJ64" i="13"/>
  <c r="AD64" i="13"/>
  <c r="AJ50" i="13"/>
  <c r="AD50" i="13"/>
  <c r="AJ16" i="13"/>
  <c r="AD16" i="13"/>
  <c r="AL91" i="13"/>
  <c r="AF91" i="13"/>
  <c r="AH91" i="13" s="1"/>
  <c r="I91" i="13" s="1"/>
  <c r="J91" i="13" s="1"/>
  <c r="AL75" i="13"/>
  <c r="AF75" i="13"/>
  <c r="AH75" i="13" s="1"/>
  <c r="I75" i="13" s="1"/>
  <c r="J75" i="13" s="1"/>
  <c r="AL62" i="13"/>
  <c r="AF62" i="13"/>
  <c r="AH62" i="13" s="1"/>
  <c r="I62" i="13" s="1"/>
  <c r="J62" i="13" s="1"/>
  <c r="AL46" i="13"/>
  <c r="AF46" i="13"/>
  <c r="U46" i="13" s="1"/>
  <c r="AL20" i="13"/>
  <c r="AF20" i="13"/>
  <c r="AC51" i="13"/>
  <c r="AI51" i="13"/>
  <c r="AI21" i="13"/>
  <c r="AC21" i="13"/>
  <c r="AJ93" i="13"/>
  <c r="AD93" i="13"/>
  <c r="AJ76" i="13"/>
  <c r="AD76" i="13"/>
  <c r="AJ14" i="13"/>
  <c r="AD14" i="13"/>
  <c r="AL90" i="13"/>
  <c r="AF90" i="13"/>
  <c r="AH90" i="13" s="1"/>
  <c r="I90" i="13" s="1"/>
  <c r="J90" i="13" s="1"/>
  <c r="AL61" i="13"/>
  <c r="AF61" i="13"/>
  <c r="AH61" i="13" s="1"/>
  <c r="I61" i="13" s="1"/>
  <c r="J61" i="13" s="1"/>
  <c r="AJ20" i="13"/>
  <c r="AD20" i="13"/>
  <c r="S20" i="13" s="1"/>
  <c r="AI72" i="13"/>
  <c r="AC72" i="13"/>
  <c r="R72" i="13" s="1"/>
  <c r="AL68" i="13"/>
  <c r="AF68" i="13"/>
  <c r="AJ39" i="13"/>
  <c r="AD39" i="13"/>
  <c r="AF99" i="13"/>
  <c r="AL99" i="13"/>
  <c r="AC99" i="13"/>
  <c r="AI99" i="13"/>
  <c r="AI77" i="13"/>
  <c r="AC77" i="13"/>
  <c r="AI64" i="13"/>
  <c r="AC64" i="13"/>
  <c r="R64" i="13" s="1"/>
  <c r="AI50" i="13"/>
  <c r="AC50" i="13"/>
  <c r="AI16" i="13"/>
  <c r="AC16" i="13"/>
  <c r="AJ91" i="13"/>
  <c r="AD91" i="13"/>
  <c r="AJ75" i="13"/>
  <c r="AD75" i="13"/>
  <c r="AJ62" i="13"/>
  <c r="AD62" i="13"/>
  <c r="S62" i="13" s="1"/>
  <c r="AJ46" i="13"/>
  <c r="AD46" i="13"/>
  <c r="AL89" i="13"/>
  <c r="AF89" i="13"/>
  <c r="AH89" i="13" s="1"/>
  <c r="I89" i="13" s="1"/>
  <c r="J89" i="13" s="1"/>
  <c r="AL72" i="13"/>
  <c r="AF72" i="13"/>
  <c r="AL44" i="13"/>
  <c r="AF44" i="13"/>
  <c r="U44" i="13" s="1"/>
  <c r="AL19" i="13"/>
  <c r="AF19" i="13"/>
  <c r="AI20" i="13"/>
  <c r="AC20" i="13"/>
  <c r="R20" i="13" s="1"/>
  <c r="AI44" i="13"/>
  <c r="AC44" i="13"/>
  <c r="R44" i="13" s="1"/>
  <c r="AF53" i="13"/>
  <c r="U53" i="13" s="1"/>
  <c r="AL53" i="13"/>
  <c r="AD53" i="13"/>
  <c r="S53" i="13" s="1"/>
  <c r="AJ53" i="13"/>
  <c r="AI78" i="13"/>
  <c r="AC78" i="13"/>
  <c r="AI93" i="13"/>
  <c r="AC93" i="13"/>
  <c r="AI76" i="13"/>
  <c r="AC76" i="13"/>
  <c r="AI14" i="13"/>
  <c r="AC14" i="13"/>
  <c r="AJ90" i="13"/>
  <c r="AD90" i="13"/>
  <c r="AJ61" i="13"/>
  <c r="AD61" i="13"/>
  <c r="AL87" i="13"/>
  <c r="AF87" i="13"/>
  <c r="AH87" i="13" s="1"/>
  <c r="I87" i="13" s="1"/>
  <c r="J87" i="13" s="1"/>
  <c r="AL42" i="13"/>
  <c r="AF42" i="13"/>
  <c r="AH42" i="13" s="1"/>
  <c r="I42" i="13" s="1"/>
  <c r="J42" i="13" s="1"/>
  <c r="AJ19" i="13"/>
  <c r="AD19" i="13"/>
  <c r="S19" i="13" s="1"/>
  <c r="AI91" i="13"/>
  <c r="AC91" i="13"/>
  <c r="AI75" i="13"/>
  <c r="AC75" i="13"/>
  <c r="AI62" i="13"/>
  <c r="AC62" i="13"/>
  <c r="R62" i="13" s="1"/>
  <c r="AI46" i="13"/>
  <c r="AC46" i="13"/>
  <c r="AJ89" i="13"/>
  <c r="AD89" i="13"/>
  <c r="AJ72" i="13"/>
  <c r="AD72" i="13"/>
  <c r="S72" i="13" s="1"/>
  <c r="AJ44" i="13"/>
  <c r="AD44" i="13"/>
  <c r="AL70" i="13"/>
  <c r="AF70" i="13"/>
  <c r="AL41" i="13"/>
  <c r="AF41" i="13"/>
  <c r="AH41" i="13" s="1"/>
  <c r="I41" i="13" s="1"/>
  <c r="J41" i="13" s="1"/>
  <c r="AI19" i="13"/>
  <c r="AC19" i="13"/>
  <c r="R19" i="13" s="1"/>
  <c r="AI90" i="13"/>
  <c r="AC90" i="13"/>
  <c r="AI61" i="13"/>
  <c r="AC61" i="13"/>
  <c r="AJ87" i="13"/>
  <c r="AD87" i="13"/>
  <c r="AJ42" i="13"/>
  <c r="AD42" i="13"/>
  <c r="AL84" i="13"/>
  <c r="AF84" i="13"/>
  <c r="AH84" i="13" s="1"/>
  <c r="I84" i="13" s="1"/>
  <c r="J84" i="13" s="1"/>
  <c r="AL57" i="13"/>
  <c r="AF57" i="13"/>
  <c r="AL39" i="13"/>
  <c r="AF39" i="13"/>
  <c r="AH39" i="13" s="1"/>
  <c r="I39" i="13" s="1"/>
  <c r="J39" i="13" s="1"/>
  <c r="U20" i="8"/>
  <c r="R22" i="8"/>
  <c r="V22" i="13" s="1"/>
  <c r="U22" i="8"/>
  <c r="T22" i="8"/>
  <c r="X22" i="13" s="1"/>
  <c r="R20" i="8"/>
  <c r="V19" i="13" s="1"/>
  <c r="T20" i="8"/>
  <c r="X19" i="13" s="1"/>
  <c r="AB38" i="13"/>
  <c r="AB58" i="13"/>
  <c r="AB59" i="13"/>
  <c r="AB96" i="13"/>
  <c r="Z38" i="13"/>
  <c r="Z58" i="13"/>
  <c r="Z59" i="13"/>
  <c r="Z96" i="13"/>
  <c r="Y30" i="13"/>
  <c r="Y38" i="13"/>
  <c r="Y58" i="13"/>
  <c r="Y59" i="13"/>
  <c r="Y96" i="13"/>
  <c r="Y111" i="13"/>
  <c r="Y112" i="13"/>
  <c r="U111" i="13"/>
  <c r="R111" i="13"/>
  <c r="AB16" i="13"/>
  <c r="AB21" i="13"/>
  <c r="AB30" i="13"/>
  <c r="AB36" i="13"/>
  <c r="AB39" i="13"/>
  <c r="AB41" i="13"/>
  <c r="AB42" i="13"/>
  <c r="AB44" i="13"/>
  <c r="AB45" i="13"/>
  <c r="AB46" i="13"/>
  <c r="AB49" i="13"/>
  <c r="AB50" i="13"/>
  <c r="AB51" i="13"/>
  <c r="AB52" i="13"/>
  <c r="AB53" i="13"/>
  <c r="AB56" i="13"/>
  <c r="AB57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4" i="13"/>
  <c r="AB75" i="13"/>
  <c r="AB76" i="13"/>
  <c r="AB77" i="13"/>
  <c r="AB78" i="13"/>
  <c r="AB79" i="13"/>
  <c r="AB82" i="13"/>
  <c r="AB83" i="13"/>
  <c r="AB84" i="13"/>
  <c r="AB87" i="13"/>
  <c r="AB89" i="13"/>
  <c r="AB90" i="13"/>
  <c r="AB91" i="13"/>
  <c r="AB93" i="13"/>
  <c r="AB99" i="13"/>
  <c r="AB100" i="13"/>
  <c r="AB104" i="13"/>
  <c r="AB109" i="13"/>
  <c r="AB110" i="13"/>
  <c r="AB111" i="13"/>
  <c r="AB112" i="13"/>
  <c r="AB113" i="13"/>
  <c r="Z16" i="13"/>
  <c r="Z21" i="13"/>
  <c r="Z30" i="13"/>
  <c r="Z36" i="13"/>
  <c r="Z39" i="13"/>
  <c r="Z41" i="13"/>
  <c r="Z42" i="13"/>
  <c r="Z44" i="13"/>
  <c r="Z45" i="13"/>
  <c r="Z46" i="13"/>
  <c r="Z49" i="13"/>
  <c r="Z50" i="13"/>
  <c r="Z51" i="13"/>
  <c r="Z52" i="13"/>
  <c r="Z53" i="13"/>
  <c r="Z56" i="13"/>
  <c r="Z57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4" i="13"/>
  <c r="Z75" i="13"/>
  <c r="Z76" i="13"/>
  <c r="Z77" i="13"/>
  <c r="Z78" i="13"/>
  <c r="Z79" i="13"/>
  <c r="Z82" i="13"/>
  <c r="Z83" i="13"/>
  <c r="Z84" i="13"/>
  <c r="Z87" i="13"/>
  <c r="Z89" i="13"/>
  <c r="Z90" i="13"/>
  <c r="Z91" i="13"/>
  <c r="Z93" i="13"/>
  <c r="Z99" i="13"/>
  <c r="Z100" i="13"/>
  <c r="Z104" i="13"/>
  <c r="Z109" i="13"/>
  <c r="Z110" i="13"/>
  <c r="Z111" i="13"/>
  <c r="Z112" i="13"/>
  <c r="Z113" i="13"/>
  <c r="Y16" i="13"/>
  <c r="Y21" i="13"/>
  <c r="Y36" i="13"/>
  <c r="Y39" i="13"/>
  <c r="Y41" i="13"/>
  <c r="Y42" i="13"/>
  <c r="Y44" i="13"/>
  <c r="Y45" i="13"/>
  <c r="Y46" i="13"/>
  <c r="Y49" i="13"/>
  <c r="Y50" i="13"/>
  <c r="Y51" i="13"/>
  <c r="Y52" i="13"/>
  <c r="Y53" i="13"/>
  <c r="Y56" i="13"/>
  <c r="Y57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4" i="13"/>
  <c r="Y75" i="13"/>
  <c r="Y76" i="13"/>
  <c r="Y77" i="13"/>
  <c r="Y78" i="13"/>
  <c r="Y79" i="13"/>
  <c r="Y82" i="13"/>
  <c r="Y83" i="13"/>
  <c r="Y84" i="13"/>
  <c r="Y87" i="13"/>
  <c r="Y89" i="13"/>
  <c r="Y90" i="13"/>
  <c r="Y91" i="13"/>
  <c r="Y93" i="13"/>
  <c r="Y99" i="13"/>
  <c r="Y100" i="13"/>
  <c r="Y104" i="13"/>
  <c r="Y109" i="13"/>
  <c r="Y110" i="13"/>
  <c r="Y113" i="13"/>
  <c r="U19" i="13" l="1"/>
  <c r="AH19" i="13"/>
  <c r="I19" i="13" s="1"/>
  <c r="J19" i="13" s="1"/>
  <c r="AG58" i="13"/>
  <c r="G58" i="13" s="1"/>
  <c r="H58" i="13" s="1"/>
  <c r="AH22" i="13"/>
  <c r="I22" i="13" s="1"/>
  <c r="J22" i="13" s="1"/>
  <c r="U22" i="13"/>
  <c r="S22" i="13"/>
  <c r="AG22" i="13"/>
  <c r="G22" i="13" s="1"/>
  <c r="H22" i="13" s="1"/>
  <c r="AG96" i="13"/>
  <c r="G96" i="13" s="1"/>
  <c r="H96" i="13" s="1"/>
  <c r="W21" i="13"/>
  <c r="W22" i="13"/>
  <c r="S73" i="13"/>
  <c r="AG73" i="13"/>
  <c r="G73" i="13" s="1"/>
  <c r="H73" i="13" s="1"/>
  <c r="U103" i="13"/>
  <c r="AH103" i="13"/>
  <c r="I103" i="13" s="1"/>
  <c r="J103" i="13" s="1"/>
  <c r="U86" i="13"/>
  <c r="AH86" i="13"/>
  <c r="I86" i="13" s="1"/>
  <c r="J86" i="13" s="1"/>
  <c r="S86" i="13"/>
  <c r="AG86" i="13"/>
  <c r="G86" i="13" s="1"/>
  <c r="H86" i="13" s="1"/>
  <c r="AH101" i="13"/>
  <c r="I101" i="13" s="1"/>
  <c r="J101" i="13" s="1"/>
  <c r="U101" i="13"/>
  <c r="W64" i="13"/>
  <c r="W69" i="13"/>
  <c r="U73" i="13"/>
  <c r="AH73" i="13"/>
  <c r="I73" i="13" s="1"/>
  <c r="J73" i="13" s="1"/>
  <c r="S96" i="13"/>
  <c r="S58" i="13"/>
  <c r="S101" i="13"/>
  <c r="AG101" i="13"/>
  <c r="G101" i="13" s="1"/>
  <c r="H101" i="13" s="1"/>
  <c r="S103" i="13"/>
  <c r="AG103" i="13"/>
  <c r="G103" i="13" s="1"/>
  <c r="H103" i="13" s="1"/>
  <c r="U96" i="13"/>
  <c r="W110" i="13"/>
  <c r="W86" i="13"/>
  <c r="W38" i="13"/>
  <c r="W58" i="13"/>
  <c r="U58" i="13"/>
  <c r="U57" i="13"/>
  <c r="AH57" i="13"/>
  <c r="I57" i="13" s="1"/>
  <c r="J57" i="13" s="1"/>
  <c r="W18" i="13"/>
  <c r="W117" i="13"/>
  <c r="W61" i="13"/>
  <c r="S117" i="13"/>
  <c r="AG117" i="13"/>
  <c r="G117" i="13" s="1"/>
  <c r="H117" i="13" s="1"/>
  <c r="AH117" i="13"/>
  <c r="I117" i="13" s="1"/>
  <c r="J117" i="13" s="1"/>
  <c r="U117" i="13"/>
  <c r="W85" i="13"/>
  <c r="AH115" i="13"/>
  <c r="I115" i="13" s="1"/>
  <c r="J115" i="13" s="1"/>
  <c r="U115" i="13"/>
  <c r="U80" i="13"/>
  <c r="AH80" i="13"/>
  <c r="I80" i="13" s="1"/>
  <c r="J80" i="13" s="1"/>
  <c r="AG80" i="13"/>
  <c r="G80" i="13" s="1"/>
  <c r="H80" i="13" s="1"/>
  <c r="S80" i="13"/>
  <c r="W89" i="13"/>
  <c r="W48" i="13"/>
  <c r="AG18" i="13"/>
  <c r="G18" i="13" s="1"/>
  <c r="H18" i="13" s="1"/>
  <c r="U18" i="13"/>
  <c r="AH18" i="13"/>
  <c r="I18" i="13" s="1"/>
  <c r="J18" i="13" s="1"/>
  <c r="S48" i="13"/>
  <c r="AG48" i="13"/>
  <c r="G48" i="13" s="1"/>
  <c r="H48" i="13" s="1"/>
  <c r="S115" i="13"/>
  <c r="AG115" i="13"/>
  <c r="G115" i="13" s="1"/>
  <c r="H115" i="13" s="1"/>
  <c r="S81" i="13"/>
  <c r="AG81" i="13"/>
  <c r="G81" i="13" s="1"/>
  <c r="H81" i="13" s="1"/>
  <c r="S47" i="13"/>
  <c r="AG47" i="13"/>
  <c r="G47" i="13" s="1"/>
  <c r="H47" i="13" s="1"/>
  <c r="U81" i="13"/>
  <c r="AH81" i="13"/>
  <c r="I81" i="13" s="1"/>
  <c r="J81" i="13" s="1"/>
  <c r="U85" i="13"/>
  <c r="AH85" i="13"/>
  <c r="I85" i="13" s="1"/>
  <c r="J85" i="13" s="1"/>
  <c r="S85" i="13"/>
  <c r="AG85" i="13"/>
  <c r="G85" i="13" s="1"/>
  <c r="H85" i="13" s="1"/>
  <c r="AH48" i="13"/>
  <c r="I48" i="13" s="1"/>
  <c r="J48" i="13" s="1"/>
  <c r="U48" i="13"/>
  <c r="U47" i="13"/>
  <c r="AH47" i="13"/>
  <c r="I47" i="13" s="1"/>
  <c r="J47" i="13" s="1"/>
  <c r="S108" i="13"/>
  <c r="AG108" i="13"/>
  <c r="G108" i="13" s="1"/>
  <c r="H108" i="13" s="1"/>
  <c r="W109" i="13"/>
  <c r="W108" i="13"/>
  <c r="AH108" i="13"/>
  <c r="I108" i="13" s="1"/>
  <c r="J108" i="13" s="1"/>
  <c r="U108" i="13"/>
  <c r="U110" i="13"/>
  <c r="AH110" i="13"/>
  <c r="I110" i="13" s="1"/>
  <c r="J110" i="13" s="1"/>
  <c r="U64" i="13"/>
  <c r="AH64" i="13"/>
  <c r="I64" i="13" s="1"/>
  <c r="J64" i="13" s="1"/>
  <c r="U20" i="13"/>
  <c r="AH20" i="13"/>
  <c r="I20" i="13" s="1"/>
  <c r="J20" i="13" s="1"/>
  <c r="U30" i="13"/>
  <c r="AH30" i="13"/>
  <c r="I30" i="13" s="1"/>
  <c r="J30" i="13" s="1"/>
  <c r="U66" i="13"/>
  <c r="AH66" i="13"/>
  <c r="I66" i="13" s="1"/>
  <c r="J66" i="13" s="1"/>
  <c r="U72" i="13"/>
  <c r="AH72" i="13"/>
  <c r="I72" i="13" s="1"/>
  <c r="U70" i="13"/>
  <c r="AH70" i="13"/>
  <c r="I70" i="13" s="1"/>
  <c r="J70" i="13" s="1"/>
  <c r="U68" i="13"/>
  <c r="AH68" i="13"/>
  <c r="I68" i="13" s="1"/>
  <c r="J68" i="13" s="1"/>
  <c r="U79" i="13"/>
  <c r="AH79" i="13"/>
  <c r="I79" i="13" s="1"/>
  <c r="J79" i="13" s="1"/>
  <c r="U59" i="13"/>
  <c r="AH59" i="13"/>
  <c r="I59" i="13" s="1"/>
  <c r="J59" i="13" s="1"/>
  <c r="U38" i="13"/>
  <c r="AH38" i="13"/>
  <c r="I38" i="13" s="1"/>
  <c r="J38" i="13" s="1"/>
  <c r="AG109" i="13"/>
  <c r="G109" i="13" s="1"/>
  <c r="H109" i="13" s="1"/>
  <c r="AG59" i="13"/>
  <c r="G59" i="13" s="1"/>
  <c r="H59" i="13" s="1"/>
  <c r="AI118" i="13"/>
  <c r="W7" i="13" s="1"/>
  <c r="AJ118" i="13"/>
  <c r="S46" i="13"/>
  <c r="AD118" i="13"/>
  <c r="AL118" i="13"/>
  <c r="R46" i="13"/>
  <c r="AC118" i="13"/>
  <c r="R7" i="13" s="1"/>
  <c r="AF118" i="13"/>
  <c r="AG98" i="13"/>
  <c r="S98" i="13"/>
  <c r="AG112" i="13"/>
  <c r="AG38" i="13"/>
  <c r="G38" i="13" s="1"/>
  <c r="H38" i="13" s="1"/>
  <c r="S38" i="13"/>
  <c r="AG20" i="13"/>
  <c r="G20" i="13" s="1"/>
  <c r="H20" i="13" s="1"/>
  <c r="CL14" i="15"/>
  <c r="CL12" i="15"/>
  <c r="AG30" i="13"/>
  <c r="G30" i="13" s="1"/>
  <c r="H30" i="13" s="1"/>
  <c r="AG64" i="13"/>
  <c r="G64" i="13" s="1"/>
  <c r="H64" i="13" s="1"/>
  <c r="S64" i="13"/>
  <c r="AG44" i="13"/>
  <c r="S44" i="13"/>
  <c r="AG70" i="13"/>
  <c r="G70" i="13" s="1"/>
  <c r="H70" i="13" s="1"/>
  <c r="AG68" i="13"/>
  <c r="G68" i="13" s="1"/>
  <c r="H68" i="13" s="1"/>
  <c r="AG62" i="13"/>
  <c r="G62" i="13" s="1"/>
  <c r="H62" i="13" s="1"/>
  <c r="AG79" i="13"/>
  <c r="G79" i="13" s="1"/>
  <c r="H79" i="13" s="1"/>
  <c r="S70" i="13"/>
  <c r="S68" i="13"/>
  <c r="AG66" i="13"/>
  <c r="G66" i="13" s="1"/>
  <c r="H66" i="13" s="1"/>
  <c r="U62" i="13"/>
  <c r="AG57" i="13"/>
  <c r="G57" i="13" s="1"/>
  <c r="H57" i="13" s="1"/>
  <c r="AG53" i="13"/>
  <c r="AG46" i="13"/>
  <c r="AB14" i="13"/>
  <c r="AB7" i="13" s="1"/>
  <c r="Z14" i="13"/>
  <c r="Z7" i="13" s="1"/>
  <c r="Y14" i="13"/>
  <c r="Y7" i="13" s="1"/>
  <c r="AG111" i="13"/>
  <c r="U109" i="13"/>
  <c r="S111" i="13"/>
  <c r="AG110" i="13"/>
  <c r="G110" i="13" s="1"/>
  <c r="H110" i="13" s="1"/>
  <c r="AG19" i="13"/>
  <c r="G19" i="13" s="1"/>
  <c r="H19" i="13" s="1"/>
  <c r="AG113" i="13"/>
  <c r="S113" i="13"/>
  <c r="AG72" i="13"/>
  <c r="G72" i="13" s="1"/>
  <c r="H72" i="13" s="1"/>
  <c r="I97" i="8"/>
  <c r="L97" i="8" s="1"/>
  <c r="W97" i="8"/>
  <c r="Y97" i="8"/>
  <c r="I7" i="13" l="1"/>
  <c r="J72" i="13"/>
  <c r="J7" i="13" s="1"/>
  <c r="AH118" i="13"/>
  <c r="X7" i="13"/>
  <c r="V7" i="13"/>
  <c r="AO12" i="13"/>
  <c r="AP12" i="13"/>
  <c r="AR12" i="13"/>
  <c r="AQ12" i="13"/>
  <c r="AQ15" i="13"/>
  <c r="AR15" i="13"/>
  <c r="AO15" i="13"/>
  <c r="AP15" i="13"/>
  <c r="AO13" i="13"/>
  <c r="AP13" i="13"/>
  <c r="AQ13" i="13"/>
  <c r="AR13" i="13"/>
  <c r="CL4" i="15"/>
  <c r="CL11" i="15"/>
  <c r="T97" i="8"/>
  <c r="R97" i="8"/>
  <c r="U97" i="8"/>
  <c r="CM12" i="15" l="1"/>
  <c r="CN12" i="15" s="1"/>
  <c r="CM13" i="15"/>
  <c r="CN13" i="15" s="1"/>
  <c r="CN4" i="15"/>
  <c r="CM6" i="15"/>
  <c r="CN6" i="15" s="1"/>
  <c r="AX14" i="13"/>
  <c r="CL35" i="15" s="1"/>
  <c r="AV13" i="13"/>
  <c r="CK33" i="15" s="1"/>
  <c r="AW14" i="13"/>
  <c r="CL34" i="15" s="1"/>
  <c r="AV14" i="13"/>
  <c r="CL33" i="15" s="1"/>
  <c r="AU14" i="13"/>
  <c r="CL32" i="15" s="1"/>
  <c r="AU13" i="13"/>
  <c r="CK32" i="15" s="1"/>
  <c r="AX13" i="13"/>
  <c r="CK35" i="15" s="1"/>
  <c r="AW13" i="13"/>
  <c r="CK34" i="15" s="1"/>
  <c r="AW12" i="13"/>
  <c r="CJ34" i="15" s="1"/>
  <c r="AX12" i="13"/>
  <c r="CJ35" i="15" s="1"/>
  <c r="AV12" i="13"/>
  <c r="CJ33" i="15" s="1"/>
  <c r="AU12" i="13"/>
  <c r="CJ32" i="15" s="1"/>
  <c r="CM5" i="15"/>
  <c r="CN5" i="15" s="1"/>
  <c r="CM7" i="15"/>
  <c r="CN7" i="15" s="1"/>
  <c r="CM4" i="15"/>
  <c r="CM14" i="15"/>
  <c r="CN14" i="15" s="1"/>
  <c r="CN11" i="15"/>
  <c r="CM11" i="15"/>
  <c r="I117" i="8"/>
  <c r="L117" i="8" s="1"/>
  <c r="W117" i="8"/>
  <c r="Y117" i="8"/>
  <c r="CN35" i="15" l="1"/>
  <c r="CN34" i="15"/>
  <c r="CO32" i="15"/>
  <c r="CO33" i="15"/>
  <c r="CO34" i="15"/>
  <c r="CO35" i="15"/>
  <c r="CN32" i="15"/>
  <c r="CM32" i="15"/>
  <c r="CN33" i="15"/>
  <c r="CM33" i="15"/>
  <c r="CM35" i="15"/>
  <c r="CM34" i="15"/>
  <c r="AX16" i="13"/>
  <c r="AX15" i="13"/>
  <c r="AU16" i="13"/>
  <c r="AU15" i="13"/>
  <c r="AV16" i="13"/>
  <c r="AV15" i="13"/>
  <c r="AW16" i="13"/>
  <c r="AW15" i="13"/>
  <c r="R117" i="8"/>
  <c r="U117" i="8"/>
  <c r="T117" i="8"/>
  <c r="X18" i="13" l="1"/>
  <c r="X117" i="13"/>
  <c r="V18" i="13"/>
  <c r="V117" i="13"/>
  <c r="I88" i="8"/>
  <c r="L88" i="8" s="1"/>
  <c r="W88" i="8"/>
  <c r="Y88" i="8"/>
  <c r="T88" i="8" l="1"/>
  <c r="R88" i="8"/>
  <c r="U88" i="8"/>
  <c r="U71" i="13" l="1"/>
  <c r="U60" i="13"/>
  <c r="U87" i="13"/>
  <c r="U67" i="13"/>
  <c r="U91" i="13"/>
  <c r="U45" i="13"/>
  <c r="U90" i="13"/>
  <c r="U41" i="13"/>
  <c r="U39" i="13"/>
  <c r="U93" i="13"/>
  <c r="U74" i="13"/>
  <c r="U89" i="13"/>
  <c r="U69" i="13"/>
  <c r="U21" i="13"/>
  <c r="U61" i="13"/>
  <c r="U42" i="13"/>
  <c r="U56" i="13"/>
  <c r="U82" i="13"/>
  <c r="U36" i="13"/>
  <c r="U65" i="13"/>
  <c r="U100" i="13"/>
  <c r="U99" i="13"/>
  <c r="U63" i="13"/>
  <c r="U49" i="13"/>
  <c r="U16" i="13"/>
  <c r="U75" i="13"/>
  <c r="U84" i="13"/>
  <c r="U83" i="13"/>
  <c r="U52" i="13"/>
  <c r="U104" i="13"/>
  <c r="U51" i="13"/>
  <c r="U78" i="13"/>
  <c r="U50" i="13"/>
  <c r="U77" i="13"/>
  <c r="U76" i="13"/>
  <c r="T42" i="8"/>
  <c r="T58" i="8"/>
  <c r="T45" i="8"/>
  <c r="X45" i="13" s="1"/>
  <c r="T49" i="8"/>
  <c r="X49" i="13" s="1"/>
  <c r="T56" i="8"/>
  <c r="X81" i="13" s="1"/>
  <c r="T63" i="8"/>
  <c r="T64" i="8"/>
  <c r="T65" i="8"/>
  <c r="T68" i="8"/>
  <c r="T70" i="8"/>
  <c r="T72" i="8"/>
  <c r="T74" i="8"/>
  <c r="T76" i="8"/>
  <c r="T82" i="8"/>
  <c r="T110" i="8"/>
  <c r="T85" i="8"/>
  <c r="T86" i="8"/>
  <c r="T87" i="8"/>
  <c r="I86" i="8"/>
  <c r="L86" i="8" s="1"/>
  <c r="W86" i="8"/>
  <c r="Y86" i="8"/>
  <c r="X110" i="13" l="1"/>
  <c r="X86" i="13"/>
  <c r="X38" i="13"/>
  <c r="X58" i="13"/>
  <c r="X109" i="13"/>
  <c r="R63" i="13"/>
  <c r="R100" i="13"/>
  <c r="R78" i="13"/>
  <c r="R50" i="13"/>
  <c r="R21" i="13"/>
  <c r="R49" i="13"/>
  <c r="R93" i="13"/>
  <c r="R75" i="13"/>
  <c r="R61" i="13"/>
  <c r="R45" i="13"/>
  <c r="R91" i="13"/>
  <c r="R74" i="13"/>
  <c r="R60" i="13"/>
  <c r="R71" i="13"/>
  <c r="R90" i="13"/>
  <c r="R89" i="13"/>
  <c r="R42" i="13"/>
  <c r="R87" i="13"/>
  <c r="R69" i="13"/>
  <c r="R41" i="13"/>
  <c r="R84" i="13"/>
  <c r="R99" i="13"/>
  <c r="R16" i="13"/>
  <c r="R39" i="13"/>
  <c r="R83" i="13"/>
  <c r="R67" i="13"/>
  <c r="R76" i="13"/>
  <c r="R82" i="13"/>
  <c r="R52" i="13"/>
  <c r="U14" i="13"/>
  <c r="R77" i="13"/>
  <c r="R56" i="13"/>
  <c r="R36" i="13"/>
  <c r="R104" i="13"/>
  <c r="R65" i="13"/>
  <c r="R51" i="13"/>
  <c r="T103" i="8"/>
  <c r="X103" i="13" s="1"/>
  <c r="T99" i="8"/>
  <c r="T53" i="8"/>
  <c r="X53" i="13" s="1"/>
  <c r="T62" i="8"/>
  <c r="X42" i="13" s="1"/>
  <c r="T14" i="8"/>
  <c r="R107" i="8"/>
  <c r="V93" i="13" s="1"/>
  <c r="U107" i="8"/>
  <c r="R82" i="8"/>
  <c r="U82" i="8"/>
  <c r="R71" i="8"/>
  <c r="V71" i="13" s="1"/>
  <c r="U71" i="8"/>
  <c r="T98" i="8"/>
  <c r="X76" i="13" s="1"/>
  <c r="T71" i="8"/>
  <c r="X71" i="13" s="1"/>
  <c r="T67" i="8"/>
  <c r="X62" i="13" s="1"/>
  <c r="T46" i="8"/>
  <c r="X46" i="13" s="1"/>
  <c r="R27" i="8"/>
  <c r="U27" i="8"/>
  <c r="R79" i="8"/>
  <c r="U79" i="8"/>
  <c r="R70" i="8"/>
  <c r="U70" i="8"/>
  <c r="R63" i="8"/>
  <c r="U63" i="8"/>
  <c r="R60" i="8"/>
  <c r="V41" i="13" s="1"/>
  <c r="U60" i="8"/>
  <c r="T105" i="8"/>
  <c r="X91" i="13" s="1"/>
  <c r="T101" i="8"/>
  <c r="X101" i="13" s="1"/>
  <c r="T79" i="8"/>
  <c r="X75" i="13" s="1"/>
  <c r="T61" i="8"/>
  <c r="T51" i="8"/>
  <c r="X51" i="13" s="1"/>
  <c r="T59" i="8"/>
  <c r="X39" i="13" s="1"/>
  <c r="R86" i="8"/>
  <c r="V86" i="13" s="1"/>
  <c r="U86" i="8"/>
  <c r="R104" i="8"/>
  <c r="U104" i="8"/>
  <c r="R93" i="8"/>
  <c r="V84" i="13" s="1"/>
  <c r="U93" i="8"/>
  <c r="R100" i="8"/>
  <c r="V100" i="13" s="1"/>
  <c r="U100" i="8"/>
  <c r="R77" i="8"/>
  <c r="U77" i="8"/>
  <c r="R73" i="8"/>
  <c r="V73" i="13" s="1"/>
  <c r="U73" i="8"/>
  <c r="R69" i="8"/>
  <c r="U69" i="8"/>
  <c r="R66" i="8"/>
  <c r="U66" i="8"/>
  <c r="R61" i="8"/>
  <c r="U61" i="8"/>
  <c r="R51" i="8"/>
  <c r="V51" i="13" s="1"/>
  <c r="U51" i="8"/>
  <c r="R45" i="8"/>
  <c r="V45" i="13" s="1"/>
  <c r="U45" i="8"/>
  <c r="R59" i="8"/>
  <c r="V39" i="13" s="1"/>
  <c r="U59" i="8"/>
  <c r="R21" i="8"/>
  <c r="U21" i="8"/>
  <c r="T83" i="8"/>
  <c r="X83" i="13" s="1"/>
  <c r="T57" i="8"/>
  <c r="X36" i="13" s="1"/>
  <c r="R113" i="8"/>
  <c r="U113" i="8"/>
  <c r="R96" i="8"/>
  <c r="U96" i="8"/>
  <c r="R98" i="8"/>
  <c r="V76" i="13" s="1"/>
  <c r="U98" i="8"/>
  <c r="R75" i="8"/>
  <c r="V70" i="13" s="1"/>
  <c r="U75" i="8"/>
  <c r="R14" i="8"/>
  <c r="U14" i="8"/>
  <c r="R64" i="8"/>
  <c r="V59" i="13" s="1"/>
  <c r="U64" i="8"/>
  <c r="R53" i="8"/>
  <c r="V53" i="13" s="1"/>
  <c r="U53" i="8"/>
  <c r="R49" i="8"/>
  <c r="V49" i="13" s="1"/>
  <c r="U49" i="8"/>
  <c r="R62" i="8"/>
  <c r="U62" i="8"/>
  <c r="R57" i="8"/>
  <c r="V36" i="13" s="1"/>
  <c r="U57" i="8"/>
  <c r="T113" i="8"/>
  <c r="T107" i="8"/>
  <c r="X93" i="13" s="1"/>
  <c r="T96" i="8"/>
  <c r="X96" i="13" s="1"/>
  <c r="T75" i="8"/>
  <c r="X70" i="13" s="1"/>
  <c r="T52" i="8"/>
  <c r="T60" i="8"/>
  <c r="X41" i="13" s="1"/>
  <c r="R87" i="8"/>
  <c r="U87" i="8"/>
  <c r="R105" i="8"/>
  <c r="V91" i="13" s="1"/>
  <c r="U105" i="8"/>
  <c r="R101" i="8"/>
  <c r="V101" i="13" s="1"/>
  <c r="U101" i="8"/>
  <c r="R74" i="8"/>
  <c r="U74" i="8"/>
  <c r="R67" i="8"/>
  <c r="U67" i="8"/>
  <c r="R52" i="8"/>
  <c r="U52" i="8"/>
  <c r="R46" i="8"/>
  <c r="V46" i="13" s="1"/>
  <c r="U46" i="8"/>
  <c r="R42" i="8"/>
  <c r="V30" i="13" s="1"/>
  <c r="U42" i="8"/>
  <c r="T27" i="8"/>
  <c r="X30" i="13" s="1"/>
  <c r="T66" i="8"/>
  <c r="T21" i="8"/>
  <c r="R26" i="8"/>
  <c r="U26" i="8"/>
  <c r="T26" i="8"/>
  <c r="T104" i="8"/>
  <c r="T93" i="8"/>
  <c r="X84" i="13" s="1"/>
  <c r="T100" i="8"/>
  <c r="T77" i="8"/>
  <c r="X72" i="13" s="1"/>
  <c r="T73" i="8"/>
  <c r="T69" i="8"/>
  <c r="T50" i="8"/>
  <c r="X50" i="13" s="1"/>
  <c r="T44" i="8"/>
  <c r="X44" i="13" s="1"/>
  <c r="T16" i="8"/>
  <c r="X16" i="13" s="1"/>
  <c r="R85" i="8"/>
  <c r="U85" i="8"/>
  <c r="R110" i="8"/>
  <c r="U110" i="8"/>
  <c r="R103" i="8"/>
  <c r="V103" i="13" s="1"/>
  <c r="U103" i="8"/>
  <c r="R83" i="8"/>
  <c r="V83" i="13" s="1"/>
  <c r="U83" i="8"/>
  <c r="R99" i="8"/>
  <c r="V77" i="13" s="1"/>
  <c r="U99" i="8"/>
  <c r="R76" i="8"/>
  <c r="U76" i="8"/>
  <c r="R72" i="8"/>
  <c r="U72" i="8"/>
  <c r="R68" i="8"/>
  <c r="U68" i="8"/>
  <c r="R65" i="8"/>
  <c r="U65" i="8"/>
  <c r="R56" i="8"/>
  <c r="V81" i="13" s="1"/>
  <c r="U56" i="8"/>
  <c r="R50" i="8"/>
  <c r="V50" i="13" s="1"/>
  <c r="U50" i="8"/>
  <c r="R44" i="8"/>
  <c r="V44" i="13" s="1"/>
  <c r="U44" i="8"/>
  <c r="R58" i="8"/>
  <c r="U58" i="8"/>
  <c r="R16" i="8"/>
  <c r="V16" i="13" s="1"/>
  <c r="U16" i="8"/>
  <c r="V62" i="13" l="1"/>
  <c r="V87" i="13"/>
  <c r="V96" i="13"/>
  <c r="X77" i="13"/>
  <c r="V38" i="13"/>
  <c r="V58" i="13"/>
  <c r="X64" i="13"/>
  <c r="X69" i="13"/>
  <c r="X68" i="13"/>
  <c r="X73" i="13"/>
  <c r="X78" i="13"/>
  <c r="X100" i="13"/>
  <c r="V75" i="13"/>
  <c r="V64" i="13"/>
  <c r="V69" i="13"/>
  <c r="X66" i="13"/>
  <c r="V110" i="13"/>
  <c r="X79" i="13"/>
  <c r="V68" i="13"/>
  <c r="V79" i="13"/>
  <c r="V72" i="13"/>
  <c r="V21" i="13"/>
  <c r="V20" i="13"/>
  <c r="X21" i="13"/>
  <c r="X20" i="13"/>
  <c r="V42" i="13"/>
  <c r="V52" i="13"/>
  <c r="V85" i="13"/>
  <c r="V14" i="13"/>
  <c r="V115" i="13"/>
  <c r="V66" i="13"/>
  <c r="V90" i="13"/>
  <c r="V47" i="13"/>
  <c r="X14" i="13"/>
  <c r="X115" i="13"/>
  <c r="X89" i="13"/>
  <c r="X48" i="13"/>
  <c r="V57" i="13"/>
  <c r="V80" i="13"/>
  <c r="X108" i="13"/>
  <c r="X87" i="13"/>
  <c r="X61" i="13"/>
  <c r="V78" i="13"/>
  <c r="V89" i="13"/>
  <c r="V48" i="13"/>
  <c r="X52" i="13"/>
  <c r="X85" i="13"/>
  <c r="V61" i="13"/>
  <c r="X59" i="13"/>
  <c r="X57" i="13"/>
  <c r="X80" i="13"/>
  <c r="X90" i="13"/>
  <c r="X47" i="13"/>
  <c r="V109" i="13"/>
  <c r="V108" i="13"/>
  <c r="R14" i="13"/>
  <c r="S91" i="13"/>
  <c r="AG91" i="13"/>
  <c r="G91" i="13" s="1"/>
  <c r="H91" i="13" s="1"/>
  <c r="S75" i="13"/>
  <c r="AG75" i="13"/>
  <c r="G75" i="13" s="1"/>
  <c r="H75" i="13" s="1"/>
  <c r="S76" i="13"/>
  <c r="AG76" i="13"/>
  <c r="S104" i="13"/>
  <c r="AG104" i="13"/>
  <c r="S21" i="13"/>
  <c r="AG21" i="13"/>
  <c r="G21" i="13" s="1"/>
  <c r="H21" i="13" s="1"/>
  <c r="AG78" i="13"/>
  <c r="G78" i="13" s="1"/>
  <c r="H78" i="13" s="1"/>
  <c r="S78" i="13"/>
  <c r="S56" i="13"/>
  <c r="AG56" i="13"/>
  <c r="S63" i="13"/>
  <c r="AG63" i="13"/>
  <c r="S39" i="13"/>
  <c r="AG39" i="13"/>
  <c r="G39" i="13" s="1"/>
  <c r="H39" i="13" s="1"/>
  <c r="S82" i="13"/>
  <c r="AG82" i="13"/>
  <c r="S41" i="13"/>
  <c r="AG41" i="13"/>
  <c r="G41" i="13" s="1"/>
  <c r="H41" i="13" s="1"/>
  <c r="S45" i="13"/>
  <c r="AG45" i="13"/>
  <c r="G45" i="13" s="1"/>
  <c r="H45" i="13" s="1"/>
  <c r="S89" i="13"/>
  <c r="AG89" i="13"/>
  <c r="G89" i="13" s="1"/>
  <c r="H89" i="13" s="1"/>
  <c r="S77" i="13"/>
  <c r="AG77" i="13"/>
  <c r="G77" i="13" s="1"/>
  <c r="H77" i="13" s="1"/>
  <c r="AG50" i="13"/>
  <c r="S50" i="13"/>
  <c r="S84" i="13"/>
  <c r="AG84" i="13"/>
  <c r="G84" i="13" s="1"/>
  <c r="H84" i="13" s="1"/>
  <c r="S60" i="13"/>
  <c r="AG60" i="13"/>
  <c r="AG51" i="13"/>
  <c r="G51" i="13" s="1"/>
  <c r="H51" i="13" s="1"/>
  <c r="S51" i="13"/>
  <c r="AG100" i="13"/>
  <c r="G100" i="13" s="1"/>
  <c r="H100" i="13" s="1"/>
  <c r="S100" i="13"/>
  <c r="S69" i="13"/>
  <c r="AG69" i="13"/>
  <c r="G69" i="13" s="1"/>
  <c r="H69" i="13" s="1"/>
  <c r="S67" i="13"/>
  <c r="AG67" i="13"/>
  <c r="G67" i="13" s="1"/>
  <c r="H67" i="13" s="1"/>
  <c r="S61" i="13"/>
  <c r="AG61" i="13"/>
  <c r="G61" i="13" s="1"/>
  <c r="H61" i="13" s="1"/>
  <c r="AG14" i="13"/>
  <c r="S14" i="13"/>
  <c r="S16" i="13"/>
  <c r="AG16" i="13"/>
  <c r="G16" i="13" s="1"/>
  <c r="H16" i="13" s="1"/>
  <c r="AG99" i="13"/>
  <c r="S99" i="13"/>
  <c r="S83" i="13"/>
  <c r="AG83" i="13"/>
  <c r="G83" i="13" s="1"/>
  <c r="H83" i="13" s="1"/>
  <c r="S71" i="13"/>
  <c r="AG71" i="13"/>
  <c r="G71" i="13" s="1"/>
  <c r="H71" i="13" s="1"/>
  <c r="AG65" i="13"/>
  <c r="S65" i="13"/>
  <c r="S36" i="13"/>
  <c r="AG36" i="13"/>
  <c r="G36" i="13" s="1"/>
  <c r="H36" i="13" s="1"/>
  <c r="S74" i="13"/>
  <c r="AG74" i="13"/>
  <c r="S93" i="13"/>
  <c r="AG93" i="13"/>
  <c r="AF119" i="13"/>
  <c r="U7" i="13"/>
  <c r="S49" i="13"/>
  <c r="AG49" i="13"/>
  <c r="G49" i="13" s="1"/>
  <c r="H49" i="13" s="1"/>
  <c r="S87" i="13"/>
  <c r="AG87" i="13"/>
  <c r="G87" i="13" s="1"/>
  <c r="H87" i="13" s="1"/>
  <c r="S52" i="13"/>
  <c r="AG52" i="13"/>
  <c r="S42" i="13"/>
  <c r="AG42" i="13"/>
  <c r="G42" i="13" s="1"/>
  <c r="H42" i="13" s="1"/>
  <c r="S90" i="13"/>
  <c r="AG90" i="13"/>
  <c r="G90" i="13" s="1"/>
  <c r="H90" i="13" s="1"/>
  <c r="I21" i="8"/>
  <c r="L21" i="8" s="1"/>
  <c r="I42" i="8"/>
  <c r="L42" i="8" s="1"/>
  <c r="I57" i="8"/>
  <c r="L57" i="8" s="1"/>
  <c r="I58" i="8"/>
  <c r="L58" i="8" s="1"/>
  <c r="I59" i="8"/>
  <c r="L59" i="8" s="1"/>
  <c r="I60" i="8"/>
  <c r="L60" i="8" s="1"/>
  <c r="I62" i="8"/>
  <c r="L62" i="8" s="1"/>
  <c r="I44" i="8"/>
  <c r="L44" i="8" s="1"/>
  <c r="I45" i="8"/>
  <c r="L45" i="8" s="1"/>
  <c r="I46" i="8"/>
  <c r="L46" i="8" s="1"/>
  <c r="I49" i="8"/>
  <c r="L49" i="8" s="1"/>
  <c r="I50" i="8"/>
  <c r="L50" i="8" s="1"/>
  <c r="I51" i="8"/>
  <c r="L51" i="8" s="1"/>
  <c r="I52" i="8"/>
  <c r="L52" i="8" s="1"/>
  <c r="I53" i="8"/>
  <c r="L53" i="8" s="1"/>
  <c r="I56" i="8"/>
  <c r="L56" i="8" s="1"/>
  <c r="I61" i="8"/>
  <c r="L61" i="8" s="1"/>
  <c r="I63" i="8"/>
  <c r="L63" i="8" s="1"/>
  <c r="I64" i="8"/>
  <c r="L64" i="8" s="1"/>
  <c r="I65" i="8"/>
  <c r="L65" i="8" s="1"/>
  <c r="I66" i="8"/>
  <c r="L66" i="8" s="1"/>
  <c r="I67" i="8"/>
  <c r="L67" i="8" s="1"/>
  <c r="I68" i="8"/>
  <c r="L68" i="8" s="1"/>
  <c r="I69" i="8"/>
  <c r="L69" i="8" s="1"/>
  <c r="I70" i="8"/>
  <c r="L70" i="8" s="1"/>
  <c r="I71" i="8"/>
  <c r="L71" i="8" s="1"/>
  <c r="I72" i="8"/>
  <c r="L72" i="8" s="1"/>
  <c r="I73" i="8"/>
  <c r="L73" i="8" s="1"/>
  <c r="I74" i="8"/>
  <c r="L74" i="8" s="1"/>
  <c r="I75" i="8"/>
  <c r="L75" i="8" s="1"/>
  <c r="I76" i="8"/>
  <c r="L76" i="8" s="1"/>
  <c r="I77" i="8"/>
  <c r="L77" i="8" s="1"/>
  <c r="I79" i="8"/>
  <c r="L79" i="8" s="1"/>
  <c r="I98" i="8"/>
  <c r="L98" i="8" s="1"/>
  <c r="I99" i="8"/>
  <c r="L99" i="8" s="1"/>
  <c r="I100" i="8"/>
  <c r="L100" i="8" s="1"/>
  <c r="I101" i="8"/>
  <c r="L101" i="8" s="1"/>
  <c r="I82" i="8"/>
  <c r="L82" i="8" s="1"/>
  <c r="I83" i="8"/>
  <c r="L83" i="8" s="1"/>
  <c r="I93" i="8"/>
  <c r="L93" i="8" s="1"/>
  <c r="L96" i="8"/>
  <c r="I103" i="8"/>
  <c r="L103" i="8" s="1"/>
  <c r="I104" i="8"/>
  <c r="L104" i="8" s="1"/>
  <c r="I105" i="8"/>
  <c r="L105" i="8" s="1"/>
  <c r="I107" i="8"/>
  <c r="L107" i="8" s="1"/>
  <c r="I110" i="8"/>
  <c r="L110" i="8" s="1"/>
  <c r="I26" i="8"/>
  <c r="L26" i="8" s="1"/>
  <c r="I27" i="8"/>
  <c r="L27" i="8" s="1"/>
  <c r="I113" i="8"/>
  <c r="L113" i="8" s="1"/>
  <c r="I85" i="8"/>
  <c r="L85" i="8" s="1"/>
  <c r="I87" i="8"/>
  <c r="L87" i="8" s="1"/>
  <c r="Y14" i="8"/>
  <c r="Y16" i="8"/>
  <c r="Y21" i="8"/>
  <c r="Y42" i="8"/>
  <c r="Y57" i="8"/>
  <c r="Y58" i="8"/>
  <c r="Y59" i="8"/>
  <c r="Y60" i="8"/>
  <c r="Y62" i="8"/>
  <c r="Y44" i="8"/>
  <c r="Y45" i="8"/>
  <c r="Y46" i="8"/>
  <c r="Y49" i="8"/>
  <c r="Y50" i="8"/>
  <c r="Y51" i="8"/>
  <c r="Y52" i="8"/>
  <c r="Y53" i="8"/>
  <c r="Y56" i="8"/>
  <c r="Y61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9" i="8"/>
  <c r="Y98" i="8"/>
  <c r="Y99" i="8"/>
  <c r="Y100" i="8"/>
  <c r="Y101" i="8"/>
  <c r="Y82" i="8"/>
  <c r="Y83" i="8"/>
  <c r="Y93" i="8"/>
  <c r="Y96" i="8"/>
  <c r="Y103" i="8"/>
  <c r="Y104" i="8"/>
  <c r="Y105" i="8"/>
  <c r="Y107" i="8"/>
  <c r="Y110" i="8"/>
  <c r="Y26" i="8"/>
  <c r="Y27" i="8"/>
  <c r="Y113" i="8"/>
  <c r="Y85" i="8"/>
  <c r="Y87" i="8"/>
  <c r="W14" i="8"/>
  <c r="W16" i="8"/>
  <c r="W21" i="8"/>
  <c r="W42" i="8"/>
  <c r="W57" i="8"/>
  <c r="W58" i="8"/>
  <c r="W59" i="8"/>
  <c r="W60" i="8"/>
  <c r="W62" i="8"/>
  <c r="W44" i="8"/>
  <c r="W45" i="8"/>
  <c r="W46" i="8"/>
  <c r="W49" i="8"/>
  <c r="W50" i="8"/>
  <c r="W51" i="8"/>
  <c r="W52" i="8"/>
  <c r="W53" i="8"/>
  <c r="W56" i="8"/>
  <c r="W61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9" i="8"/>
  <c r="W98" i="8"/>
  <c r="W99" i="8"/>
  <c r="W100" i="8"/>
  <c r="W101" i="8"/>
  <c r="W82" i="8"/>
  <c r="W83" i="8"/>
  <c r="W93" i="8"/>
  <c r="W96" i="8"/>
  <c r="W103" i="8"/>
  <c r="W104" i="8"/>
  <c r="W105" i="8"/>
  <c r="W107" i="8"/>
  <c r="W110" i="8"/>
  <c r="W26" i="8"/>
  <c r="W27" i="8"/>
  <c r="W113" i="8"/>
  <c r="W85" i="8"/>
  <c r="W87" i="8"/>
  <c r="I16" i="8"/>
  <c r="L16" i="8" s="1"/>
  <c r="I14" i="8"/>
  <c r="L14" i="8" s="1"/>
  <c r="H7" i="13" l="1"/>
  <c r="G7" i="13"/>
  <c r="AG118" i="13"/>
  <c r="AD119" i="13"/>
  <c r="S7" i="13"/>
  <c r="AC11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C. Ireland</author>
  </authors>
  <commentList>
    <comment ref="B11" authorId="0" shapeId="0" xr:uid="{5CE6F2B4-055B-4AC9-8D59-1848C30BD9B9}">
      <text>
        <r>
          <rPr>
            <sz val="9"/>
            <color indexed="81"/>
            <rFont val="Tahoma"/>
            <family val="2"/>
          </rPr>
          <t>Status STIG on cyber.mil:
- Active
- Sunset
- Deprecated (no longer available)</t>
        </r>
      </text>
    </comment>
    <comment ref="C11" authorId="0" shapeId="0" xr:uid="{00000000-0006-0000-0200-000001000000}">
      <text>
        <r>
          <rPr>
            <sz val="9"/>
            <color indexed="81"/>
            <rFont val="Tahoma"/>
            <family val="2"/>
          </rPr>
          <t>A SCAP benchmark is available from DISA.</t>
        </r>
      </text>
    </comment>
    <comment ref="D11" authorId="0" shapeId="0" xr:uid="{29CF92E6-540E-4F60-A8C5-841D4E17DB43}">
      <text>
        <r>
          <rPr>
            <sz val="9"/>
            <color indexed="81"/>
            <rFont val="Tahoma"/>
            <charset val="1"/>
          </rPr>
          <t xml:space="preserve">A SCAP benchmark is available from NIWC.
</t>
        </r>
      </text>
    </comment>
    <comment ref="E11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Total number of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the STIG.
</t>
        </r>
      </text>
    </comment>
    <comment ref="F11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DISA SCAP scans for.</t>
        </r>
      </text>
    </comment>
    <comment ref="G11" authorId="0" shapeId="0" xr:uid="{5292F30E-867A-4330-B647-373705DD1E2E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NIWC Enhanced SCAP scans for.
</t>
        </r>
      </text>
    </comment>
    <comment ref="H11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Evaluate-STIG has a path to NF status.  This is our baseline for check support.</t>
        </r>
      </text>
    </comment>
    <comment ref="I11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Evaluate-STIG completes but DISA SCAP does not.</t>
        </r>
      </text>
    </comment>
    <comment ref="J11" authorId="0" shapeId="0" xr:uid="{A95B5A8A-FE25-439A-BDF8-B90AEF3D58B8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Evaluate-STIG completes but NIWC Enhanced SCAP does not.</t>
        </r>
      </text>
    </comment>
    <comment ref="K11" authorId="0" shapeId="0" xr:uid="{56C04536-7FD7-40FF-AF12-7C21EFF36411}">
      <text>
        <r>
          <rPr>
            <sz val="9"/>
            <color indexed="81"/>
            <rFont val="Tahoma"/>
            <family val="2"/>
          </rPr>
          <t xml:space="preserve">Minutes to complete CKL without automation.
Multiplies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 from Calculator tab and column </t>
        </r>
        <r>
          <rPr>
            <b/>
            <sz val="9"/>
            <color indexed="81"/>
            <rFont val="Tahoma"/>
            <family val="2"/>
          </rPr>
          <t>E</t>
        </r>
        <r>
          <rPr>
            <sz val="9"/>
            <color indexed="81"/>
            <rFont val="Tahoma"/>
            <family val="2"/>
          </rPr>
          <t xml:space="preserve"> here.</t>
        </r>
      </text>
    </comment>
    <comment ref="L11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Minutes saved when using Evaluate-STIG instead of NIWC Enhanced SCAP.
Multiplies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 from Calculator tab and column </t>
        </r>
        <r>
          <rPr>
            <b/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Tahoma"/>
            <family val="2"/>
          </rPr>
          <t xml:space="preserve"> here.</t>
        </r>
      </text>
    </comment>
    <comment ref="M11" authorId="0" shapeId="0" xr:uid="{3029BAA4-1E75-4FD8-A0B9-BEAB4D94830E}">
      <text>
        <r>
          <rPr>
            <sz val="9"/>
            <color indexed="81"/>
            <rFont val="Tahoma"/>
            <family val="2"/>
          </rPr>
          <t xml:space="preserve">Minutes saved when using Evaluate-STIG instead of NIWC Enhanced SCAP.
Multiplies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 from Calculator tab and column </t>
        </r>
        <r>
          <rPr>
            <b/>
            <sz val="9"/>
            <color indexed="81"/>
            <rFont val="Tahoma"/>
            <family val="2"/>
          </rPr>
          <t>J</t>
        </r>
        <r>
          <rPr>
            <sz val="9"/>
            <color indexed="81"/>
            <rFont val="Tahoma"/>
            <family val="2"/>
          </rPr>
          <t xml:space="preserve"> here.</t>
        </r>
      </text>
    </comment>
    <comment ref="N1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>, number of CKLs that can be completed per hour when not using automation.</t>
        </r>
      </text>
    </comment>
    <comment ref="O11" authorId="0" shapeId="0" xr:uid="{00000000-0006-0000-0200-000008000000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, number of CKLs that can be completed per hour when using DISA SCAP.
</t>
        </r>
      </text>
    </comment>
    <comment ref="P11" authorId="0" shapeId="0" xr:uid="{0670B278-2CF7-41FF-BFA8-C5D49016C343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>, number of CKLs that can be completed per hour when using NIWC Enhanced SCAP.</t>
        </r>
      </text>
    </comment>
    <comment ref="Q11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, number of CKLs that can be completed per hour when using Evaluate-STIG.
</t>
        </r>
      </text>
    </comment>
    <comment ref="S11" authorId="0" shapeId="0" xr:uid="{17E98539-DA6F-4715-B28B-4E46C73BEF8A}">
      <text>
        <r>
          <rPr>
            <sz val="9"/>
            <color indexed="81"/>
            <rFont val="Tahoma"/>
            <family val="2"/>
          </rPr>
          <t>Improved productivity of NIWC Enhanced SCAP over manually processing the entire STIG</t>
        </r>
      </text>
    </comment>
    <comment ref="V11" authorId="0" shapeId="0" xr:uid="{1A531450-0DE9-4801-9295-6B04B3BDD2D9}">
      <text>
        <r>
          <rPr>
            <sz val="9"/>
            <color indexed="81"/>
            <rFont val="Tahoma"/>
            <family val="2"/>
          </rPr>
          <t>Improved productivity of Evaluate-STIG over using NIWC Enhanced SCAP.</t>
        </r>
      </text>
    </comment>
    <comment ref="W11" authorId="0" shapeId="0" xr:uid="{00000000-0006-0000-0200-00000D000000}">
      <text>
        <r>
          <rPr>
            <sz val="9"/>
            <color indexed="81"/>
            <rFont val="Tahoma"/>
            <family val="2"/>
          </rPr>
          <t>CKL completion when using DISA SCAP only.</t>
        </r>
      </text>
    </comment>
    <comment ref="X11" authorId="0" shapeId="0" xr:uid="{97CBFA1B-C7E4-412E-9769-4D0EC4D4FA96}">
      <text>
        <r>
          <rPr>
            <sz val="9"/>
            <color indexed="81"/>
            <rFont val="Tahoma"/>
            <family val="2"/>
          </rPr>
          <t>CKL completion when using NIWC Enhanced SCAP only.</t>
        </r>
      </text>
    </comment>
    <comment ref="Y11" authorId="0" shapeId="0" xr:uid="{00000000-0006-0000-0200-00000E000000}">
      <text>
        <r>
          <rPr>
            <sz val="9"/>
            <color indexed="81"/>
            <rFont val="Tahoma"/>
            <family val="2"/>
          </rPr>
          <t>CKL completion when using Evaluate-STIG.  Assumes fully compliant configuration,  "Unclassified" scan, and no Answer File.</t>
        </r>
      </text>
    </comment>
  </commentList>
</comments>
</file>

<file path=xl/sharedStrings.xml><?xml version="1.0" encoding="utf-8"?>
<sst xmlns="http://schemas.openxmlformats.org/spreadsheetml/2006/main" count="511" uniqueCount="223">
  <si>
    <t xml:space="preserve"> </t>
  </si>
  <si>
    <r>
      <rPr>
        <b/>
        <i/>
        <sz val="12"/>
        <color theme="4" tint="0.79998168889431442"/>
        <rFont val="Calibri"/>
        <family val="2"/>
        <scheme val="minor"/>
      </rPr>
      <t>Step 1:</t>
    </r>
    <r>
      <rPr>
        <b/>
        <sz val="12"/>
        <color theme="4" tint="0.79998168889431442"/>
        <rFont val="Calibri"/>
        <family val="2"/>
        <scheme val="minor"/>
      </rPr>
      <t xml:space="preserve">
Enter Hourly Rate</t>
    </r>
  </si>
  <si>
    <t>Average Labor Minutes Per Manual Check</t>
  </si>
  <si>
    <t>STIG Supported by Evaluate-STIG</t>
  </si>
  <si>
    <r>
      <rPr>
        <b/>
        <i/>
        <sz val="12"/>
        <color theme="4" tint="0.79998168889431442"/>
        <rFont val="Calibri"/>
        <family val="2"/>
        <scheme val="minor"/>
      </rPr>
      <t xml:space="preserve">Step 2:
</t>
    </r>
    <r>
      <rPr>
        <b/>
        <sz val="12"/>
        <color theme="4" tint="0.79998168889431442"/>
        <rFont val="Calibri"/>
        <family val="2"/>
        <scheme val="minor"/>
      </rPr>
      <t>Enter Total Installed Instances of Product</t>
    </r>
  </si>
  <si>
    <t>Remaining "NR":
Evaluate-STIG</t>
  </si>
  <si>
    <t>Total STIG Checks</t>
  </si>
  <si>
    <t>Total Completed Checks: Evaluate-STIG</t>
  </si>
  <si>
    <t>STIGS Per Hour:
Manual</t>
  </si>
  <si>
    <t>STIGS Per Hour:
Evaluate-STIG</t>
  </si>
  <si>
    <t>CKL Completion (Finalized Checks):
Evaluate-STIG</t>
  </si>
  <si>
    <t>P</t>
  </si>
  <si>
    <t>McAfee VirusScan 8.8 Local Client</t>
  </si>
  <si>
    <t>Microsoft .NET Framework 4</t>
  </si>
  <si>
    <t>Microsoft Access 2013</t>
  </si>
  <si>
    <t>Microsoft Access 2016</t>
  </si>
  <si>
    <t>Microsoft Edge</t>
  </si>
  <si>
    <t>Microsoft Excel 2013</t>
  </si>
  <si>
    <t>Microsoft Excel 2016</t>
  </si>
  <si>
    <t>Microsoft Groove 2013</t>
  </si>
  <si>
    <t>Microsoft InfoPath 2013</t>
  </si>
  <si>
    <t>Microsoft Lync 2013</t>
  </si>
  <si>
    <t>Microsoft Office System 2013</t>
  </si>
  <si>
    <t>Microsoft Office System 2016</t>
  </si>
  <si>
    <t>Microsoft OneDrive</t>
  </si>
  <si>
    <t>Microsoft OneNote 2013</t>
  </si>
  <si>
    <t>Microsoft OneNote 2016</t>
  </si>
  <si>
    <t>Microsoft Outlook 2013</t>
  </si>
  <si>
    <t>Microsoft Outlook 2016</t>
  </si>
  <si>
    <t>Microsoft PowerPoint 2013</t>
  </si>
  <si>
    <t>Microsoft PowerPoint 2016</t>
  </si>
  <si>
    <t>Microsoft Project 2013</t>
  </si>
  <si>
    <t>Microsoft Project 2016</t>
  </si>
  <si>
    <t>Microsoft Publisher 2013</t>
  </si>
  <si>
    <t>Microsoft Publisher 2016</t>
  </si>
  <si>
    <t>Microsoft Skype for Business 2016</t>
  </si>
  <si>
    <t>Microsoft Visio 2013</t>
  </si>
  <si>
    <t>Microsoft Visio 2016</t>
  </si>
  <si>
    <t>Microsoft Word 2013</t>
  </si>
  <si>
    <t>Microsoft Word 2016</t>
  </si>
  <si>
    <t>Hourly Rate</t>
  </si>
  <si>
    <t>Time to Complete (Minutes): Manual</t>
  </si>
  <si>
    <t>Cost to Complete STIG per Quarter:
Manual</t>
  </si>
  <si>
    <t>Cost to Complete STIG per Quarter:
Evaluate-STIG</t>
  </si>
  <si>
    <t>Time to Complete STIG per Quarter:
Manual</t>
  </si>
  <si>
    <t>Q1</t>
  </si>
  <si>
    <t>Q2</t>
  </si>
  <si>
    <t>Q3</t>
  </si>
  <si>
    <t>Q4</t>
  </si>
  <si>
    <t>Manual Review</t>
  </si>
  <si>
    <t>Evaluate-STIG</t>
  </si>
  <si>
    <t>Hours to Complete:
Manual</t>
  </si>
  <si>
    <t>Hours to Complete:
Evaluate-STIG</t>
  </si>
  <si>
    <t>Time to Complete</t>
  </si>
  <si>
    <t>Productivity Gain:
Evaluate-STIG Over Manual</t>
  </si>
  <si>
    <t>Productivity Gain:
Evaluate-STIG vs Manual</t>
  </si>
  <si>
    <t>Weighted Effort</t>
  </si>
  <si>
    <t>Manual</t>
  </si>
  <si>
    <t>Time to Complete STIG Review (8 hr/Day):
Evaluate-STIG</t>
  </si>
  <si>
    <t>Total Remaining
Manual Checks:
Evaluate-STIG</t>
  </si>
  <si>
    <t>Total Assignable Labor Time for STIG Review
(8 hr/Day):
Evaluate-STIG</t>
  </si>
  <si>
    <t>This row intentially blank</t>
  </si>
  <si>
    <t>Total</t>
  </si>
  <si>
    <t>Oracle Linux 7</t>
  </si>
  <si>
    <t>Oracle Linux 8</t>
  </si>
  <si>
    <t>VMware Horizon 7.13 Agent</t>
  </si>
  <si>
    <t>VMware Horizon 7.13 Client</t>
  </si>
  <si>
    <t>VMware Horizon 7.13 Connection Server</t>
  </si>
  <si>
    <t>Microsoft Defender Antivirus</t>
  </si>
  <si>
    <t>Total Checks</t>
  </si>
  <si>
    <t>* Annual projections assume quarterly reviews.</t>
  </si>
  <si>
    <t>Adobe Acrobat Pro XI</t>
  </si>
  <si>
    <t>Microsoft Exchange 2016 Edge Transport Server</t>
  </si>
  <si>
    <t>Microsoft Exchange 2016 Mailbox Server</t>
  </si>
  <si>
    <t>Completed Checks:
Evaluate-STIG</t>
  </si>
  <si>
    <t>Quarterly Cost Avoided</t>
  </si>
  <si>
    <t>Quarterly Cost to Complete</t>
  </si>
  <si>
    <t>Annual Cost Avoidance Over Manual Review</t>
  </si>
  <si>
    <t>Label</t>
  </si>
  <si>
    <t>Percentage</t>
  </si>
  <si>
    <t>Total Automated Checks</t>
  </si>
  <si>
    <t>Total Non-Automated Checks (Remaining "NR")</t>
  </si>
  <si>
    <t>Oracle Java JRE 8 for Unix</t>
  </si>
  <si>
    <t>Active Directory Domain</t>
  </si>
  <si>
    <t>Active Directory Forest</t>
  </si>
  <si>
    <t>Cisco IOS XE Router NDM</t>
  </si>
  <si>
    <t>Cisco IOS XE Switch L2S</t>
  </si>
  <si>
    <t>Cisco IOS XE Switch NDM</t>
  </si>
  <si>
    <t>Mozilla Firefox</t>
  </si>
  <si>
    <t>PostgreSQL 9.x</t>
  </si>
  <si>
    <t>Red Hat Enterprise Linux 7</t>
  </si>
  <si>
    <t>Red Hat Enterprise Linux 8</t>
  </si>
  <si>
    <t>Total Completed Checks: DISA SCAP</t>
  </si>
  <si>
    <t>Total Completed Checks: Evaluate-STIG Over DISA SCAP</t>
  </si>
  <si>
    <t>DISA Benchmark Available</t>
  </si>
  <si>
    <t>CKL Completion (Finalized Checks): 
NIWC SCAP</t>
  </si>
  <si>
    <t>CKL Completion (Finalized Checks): 
DISA SCAP</t>
  </si>
  <si>
    <t>Time Savings (Minutes): Evaluate-STIG Over DISA SCAP</t>
  </si>
  <si>
    <t>STIGS Per Hour:
DISA SCAP</t>
  </si>
  <si>
    <t>Productivity Gain:
DISA SCAP over Manual</t>
  </si>
  <si>
    <t>Productivity Gain:
Evaluate-STIG Over DISA SCAP</t>
  </si>
  <si>
    <t>DISA SCAP</t>
  </si>
  <si>
    <t>Avoidance Over DISA SCAP</t>
  </si>
  <si>
    <t>Total Remaining
Manual Checks:
DISA SCAP</t>
  </si>
  <si>
    <t>Total Assignable Labor Time for STIG Review
(8 hr/Day):
DISA SCAP</t>
  </si>
  <si>
    <t>Remaining "NR":
DISA SCAP</t>
  </si>
  <si>
    <t>Time to Complete STIG Review (8 hr/Day):
DISA SCAP</t>
  </si>
  <si>
    <t>Completed Checks:
DISA SCAP</t>
  </si>
  <si>
    <t>Productivity Gain:
DISA SCAP vs Manual</t>
  </si>
  <si>
    <t>Cost to Complete STIG per Quarter:
DISA SCAP</t>
  </si>
  <si>
    <t>Hours to Complete:
DISA SCAP</t>
  </si>
  <si>
    <t>Evaluate-STIG over DISA SCAP Reduction</t>
  </si>
  <si>
    <t>Evaluate-STIG over DISA SCAP</t>
  </si>
  <si>
    <r>
      <rPr>
        <b/>
        <sz val="14"/>
        <color theme="0"/>
        <rFont val="Calibri"/>
        <family val="2"/>
        <scheme val="minor"/>
      </rPr>
      <t>Instructions:</t>
    </r>
    <r>
      <rPr>
        <sz val="11"/>
        <color theme="0"/>
        <rFont val="Calibri"/>
        <family val="2"/>
        <scheme val="minor"/>
      </rPr>
      <t xml:space="preserve">
1. Enter your hourly rate and average labor minutes to complete a single manual check.
2. Enter the total number of instances for each STIG-applicable product installed in your environment(s).</t>
    </r>
  </si>
  <si>
    <t>Red Hat Enterprise Linux 9</t>
  </si>
  <si>
    <t>Microsoft Exchange 2019 Edge Server</t>
  </si>
  <si>
    <t>Microsoft Exchange 2019 Mailbox Server</t>
  </si>
  <si>
    <t>Rancher Government Solutions RKE2</t>
  </si>
  <si>
    <t>MongoDB Enterprise Advanced 3.x</t>
  </si>
  <si>
    <t>Weighted Productivity Gain:
DISA SCAP vs Manual
(Hidden)</t>
  </si>
  <si>
    <t>Weighted Productivity Gain:
Evaluate-STIG vs Manual
(Hidden)</t>
  </si>
  <si>
    <t>Total Cost to Complete per Quarter:
Manual
(Hidden)</t>
  </si>
  <si>
    <t>Total Cost to Complete per Quarter:
DISA SCAP
(Hidden)</t>
  </si>
  <si>
    <t>Total Cost to Complete per Quarter:
Evaluate-STIG
(Hidden)</t>
  </si>
  <si>
    <t>Windows 7</t>
  </si>
  <si>
    <t>Completed Checks:
NIWC Enhanced SCAP</t>
  </si>
  <si>
    <t>Total Remaining
Manual Checks:
NIWC Enhanced SCAP</t>
  </si>
  <si>
    <t>Remaining "NR":
NIWC Enhanced SCAP</t>
  </si>
  <si>
    <t>Total Assignable Labor Time for STIG Review
(8 hr/Day):
NIWC Enhanced SCAP</t>
  </si>
  <si>
    <t>STIGS Per Hour:
NIWC Enhanced SCAP</t>
  </si>
  <si>
    <t>NIWC Enhanced Benchmark Available</t>
  </si>
  <si>
    <t>Total Completed Checks: NIWC Enhanced SCAP</t>
  </si>
  <si>
    <t>Total Completed Checks: Evaluate-STIG Over NIWC Enhanced SCAP</t>
  </si>
  <si>
    <t>Time Savings (Minutes): Evaluate-STIG Over NIWC Enhanced SCAP</t>
  </si>
  <si>
    <t>Productivity Gain:
NIWC Enhanced SCAP over Manual</t>
  </si>
  <si>
    <t>Productivity Gain:
Evaluate-STIG Over NIWC Enhanced SCAP</t>
  </si>
  <si>
    <t>Evaluate-STIG over NIWC Enhanced SCAP Reduction</t>
  </si>
  <si>
    <t>Hours to Complete:
NIWC Enhanced SCAP</t>
  </si>
  <si>
    <t>NIWC Enhanced SCAP</t>
  </si>
  <si>
    <t>Weighted Productivity Gain:
NIWC Enhanced SCAP vs Manual
(Hidden)</t>
  </si>
  <si>
    <t>Total Cost to Complete per Quarter:
NIWC Enhanced SCAP
(Hidden)</t>
  </si>
  <si>
    <t>Annual Labor Hour Avoidance Over DISA SCAP</t>
  </si>
  <si>
    <t>Cost to Complete STIG per Quarter:
NIWC Enhanced SCAP</t>
  </si>
  <si>
    <t>Time to Complete STIG Review (8 hr/Day):
NIWC Enhanced SCAP</t>
  </si>
  <si>
    <t>Productivity Gain:
NIWC Enhanced SCAP vs Manual</t>
  </si>
  <si>
    <t>Annual Labor Hour Avoidance Over NIWC Enhanced SCAP</t>
  </si>
  <si>
    <t>Projected:
Annual Labor Hour Avoidance Over DISA SCAP with Evaluate-STIG</t>
  </si>
  <si>
    <t>Projected:
Annual Labor Hour Avoidance Over NIWC Enhanced SCAP with Evaluate-STIG</t>
  </si>
  <si>
    <t>Projected:
Annual Cost Avoidance Over DISA SCAP with Evaluate-STIG</t>
  </si>
  <si>
    <t>Annual Cost Avoidance Over DISA SCAP</t>
  </si>
  <si>
    <t>Annual Cost Avoidance Over NIWC Enhanced SCAP</t>
  </si>
  <si>
    <t>Projected:
Annual Cost Avoidance Over NIWC Enhanced SCAP with Evaluate-STIG</t>
  </si>
  <si>
    <t>Evaluate-STIG over NIWC SCAP</t>
  </si>
  <si>
    <t>[Hide this column]</t>
  </si>
  <si>
    <t>Total Automated Checks:
DISA SCAP</t>
  </si>
  <si>
    <t>Total Automated Checks:
NIWC Enhanced SCAP</t>
  </si>
  <si>
    <t>Total Automated Checks:
Evaluate-STIG</t>
  </si>
  <si>
    <t>Total Time to Complete per Quarter:
Manual</t>
  </si>
  <si>
    <t>[Hide this row]</t>
  </si>
  <si>
    <t>NIWC SCAP</t>
  </si>
  <si>
    <t>Avoidance Over NIWC SCAP</t>
  </si>
  <si>
    <t>STIG Checks</t>
  </si>
  <si>
    <t>Automated:</t>
  </si>
  <si>
    <t>DISA STIG Status</t>
  </si>
  <si>
    <t>DISA Status Dropdown</t>
  </si>
  <si>
    <t>Active</t>
  </si>
  <si>
    <t>Sunset</t>
  </si>
  <si>
    <t>Deprecated</t>
  </si>
  <si>
    <t>Oracle Linux 9</t>
  </si>
  <si>
    <t>Microsoft SharePoint 2013</t>
  </si>
  <si>
    <r>
      <rPr>
        <b/>
        <sz val="20"/>
        <color rgb="FF38B6FF"/>
        <rFont val="Cambria"/>
        <family val="1"/>
      </rPr>
      <t>Evaluate-STIG</t>
    </r>
    <r>
      <rPr>
        <b/>
        <sz val="18"/>
        <color theme="1"/>
        <rFont val="Calibri"/>
        <family val="2"/>
        <scheme val="minor"/>
      </rPr>
      <t xml:space="preserve">
</t>
    </r>
    <r>
      <rPr>
        <b/>
        <sz val="14"/>
        <color theme="0" tint="-4.9989318521683403E-2"/>
        <rFont val="Calibri"/>
        <family val="2"/>
        <scheme val="minor"/>
      </rPr>
      <t xml:space="preserve">Annual Projected Time and Cost Avoidance Over DISA and NIWC Enhanced SCAP
</t>
    </r>
    <r>
      <rPr>
        <i/>
        <sz val="10"/>
        <color theme="0" tint="-4.9989318521683403E-2"/>
        <rFont val="Calibri Light"/>
        <family val="2"/>
        <scheme val="major"/>
      </rPr>
      <t>Updated: 8/13/2025</t>
    </r>
  </si>
  <si>
    <t>Microsoft SQL Server 2022 Database</t>
  </si>
  <si>
    <t>Microsoft SQL Server 2022 Instance</t>
  </si>
  <si>
    <t>Adobe Acrobat Professional DC Classic Track</t>
  </si>
  <si>
    <t>Adobe Acrobat Professional DC Continuous Track</t>
  </si>
  <si>
    <t>Adobe Acrobat Reader DC Classic Track</t>
  </si>
  <si>
    <t>Adobe Acrobat Reader DC Continuous Track</t>
  </si>
  <si>
    <t>Apache Server 2.4 UNIX Server</t>
  </si>
  <si>
    <t>Apache Server 2.4 UNIX Site</t>
  </si>
  <si>
    <t>Apache Server 2.4 Windows Server</t>
  </si>
  <si>
    <t>Apache Server 2.4 Windows Site</t>
  </si>
  <si>
    <t>Apache Tomcat Application Server 9</t>
  </si>
  <si>
    <t>ArcGIS for Server 10.3</t>
  </si>
  <si>
    <t>Canonical Ubuntu 16.04 LTS</t>
  </si>
  <si>
    <t>Canonical Ubuntu 18.04 LTS</t>
  </si>
  <si>
    <t>Canonical Ubuntu 20.04 LTS</t>
  </si>
  <si>
    <t>Canonical Ubuntu 22.04 LTS</t>
  </si>
  <si>
    <t>Canonical Ubuntu 24.04 LTS</t>
  </si>
  <si>
    <t>Citrix Virtual Apps and Desktop 7.x Workspace App</t>
  </si>
  <si>
    <t>Google Chrome Current Windows</t>
  </si>
  <si>
    <t>JBoss Enterprise Application Platform 6.3</t>
  </si>
  <si>
    <t>Microsoft IIS 10.0 Server</t>
  </si>
  <si>
    <t>Microsoft IIS 10.0 Site</t>
  </si>
  <si>
    <t>Microsoft IIS 8.5 Server</t>
  </si>
  <si>
    <t>Microsoft IIS 8.5 Site</t>
  </si>
  <si>
    <t>Microsoft Internet Explorer 11</t>
  </si>
  <si>
    <t>Microsoft Office 365 ProPlus</t>
  </si>
  <si>
    <t>Microsoft Windows 10</t>
  </si>
  <si>
    <t>Microsoft Windows 11</t>
  </si>
  <si>
    <t>Microsoft Windows Defender Firewall with Advanced Security</t>
  </si>
  <si>
    <t>Microsoft Windows Server 2012/2012 R2 Domain Controller</t>
  </si>
  <si>
    <t>Microsoft Windows Server 2012/2012 R2 Member Server</t>
  </si>
  <si>
    <t>Microsoft Windows Server 2016</t>
  </si>
  <si>
    <t>Microsoft Windows Server 2019</t>
  </si>
  <si>
    <t>Microsoft Windows Server 2022</t>
  </si>
  <si>
    <t>Microsoft Windows Server Domain Name System (DNS)</t>
  </si>
  <si>
    <t>MS SharePoint Designer 2013</t>
  </si>
  <si>
    <t>MS SQL Server 2014 Database</t>
  </si>
  <si>
    <t>MS SQL Server 2014 Instance</t>
  </si>
  <si>
    <t>MS SQL Server 2016 Database</t>
  </si>
  <si>
    <t>MS SQL Server 2016 Instance</t>
  </si>
  <si>
    <t>Oracle Java Runtime Environment (JRE) Version 8 for Windows</t>
  </si>
  <si>
    <t>Trellix ENS 10.x Local Client</t>
  </si>
  <si>
    <t>Windows Server 2008 R2 Member Server</t>
  </si>
  <si>
    <t>Amazon Linux 2023</t>
  </si>
  <si>
    <t>Cisco IOS Router NDM</t>
  </si>
  <si>
    <t>Cisco IOS Router RTR</t>
  </si>
  <si>
    <t>Cisco IOS Switch L2S</t>
  </si>
  <si>
    <t>Cisco IOS Switch NDM</t>
  </si>
  <si>
    <t>Cisco IOS Switch RTR</t>
  </si>
  <si>
    <t>Cisco IOS XE Router RTR</t>
  </si>
  <si>
    <t>Cisco IOS XE Switch RTR</t>
  </si>
  <si>
    <r>
      <rPr>
        <sz val="20"/>
        <color theme="1"/>
        <rFont val="Calibri"/>
        <family val="2"/>
        <scheme val="minor"/>
      </rPr>
      <t>Evaluate-STIG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Per-Checklist Metrics (Out-of-Box Configuration / "Unclassified" ScanType / Evaluate-STIG Path to "NF")</t>
    </r>
    <r>
      <rPr>
        <sz val="11"/>
        <color theme="1"/>
        <rFont val="Calibri"/>
        <family val="2"/>
        <scheme val="minor"/>
      </rPr>
      <t xml:space="preserve">
Updated: 12/10/2025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</si>
</sst>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[h]:mm"/>
    <numFmt numFmtId="167" formatCode="#,##0.0\ &quot;Hrs&quot;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7" tint="0.79998168889431442"/>
      <name val="Calibri"/>
      <family val="2"/>
      <scheme val="minor"/>
    </font>
    <font>
      <b/>
      <sz val="12"/>
      <color theme="5" tint="0.59999389629810485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b/>
      <sz val="12"/>
      <color theme="9" tint="0.59999389629810485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b/>
      <i/>
      <sz val="12"/>
      <color theme="4" tint="0.7999816888943144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5" tint="0.7999816888943144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sz val="11"/>
      <color rgb="FF172849"/>
      <name val="Calibri"/>
      <scheme val="minor"/>
    </font>
    <font>
      <sz val="11"/>
      <color theme="1" tint="0.14999847407452621"/>
      <name val="Calibri"/>
      <scheme val="minor"/>
    </font>
    <font>
      <sz val="11"/>
      <name val="Calibri"/>
      <scheme val="minor"/>
    </font>
    <font>
      <sz val="11"/>
      <color theme="2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i/>
      <sz val="10"/>
      <color theme="0" tint="-4.9989318521683403E-2"/>
      <name val="Calibri Light"/>
      <family val="2"/>
      <scheme val="major"/>
    </font>
    <font>
      <i/>
      <sz val="11"/>
      <color theme="0"/>
      <name val="Calibri"/>
      <family val="2"/>
      <scheme val="minor"/>
    </font>
    <font>
      <b/>
      <sz val="20"/>
      <color rgb="FF38B6FF"/>
      <name val="Cambria"/>
      <family val="1"/>
    </font>
    <font>
      <sz val="11"/>
      <color theme="1"/>
      <name val="Wingdings 2"/>
    </font>
    <font>
      <sz val="11"/>
      <color rgb="FF172849"/>
      <name val="Calibri"/>
      <family val="2"/>
      <scheme val="minor"/>
    </font>
    <font>
      <sz val="11"/>
      <color theme="1"/>
      <name val="Calibri"/>
      <scheme val="minor"/>
    </font>
    <font>
      <b/>
      <sz val="18"/>
      <color theme="1"/>
      <name val="Calibri"/>
      <family val="1"/>
      <scheme val="minor"/>
    </font>
    <font>
      <sz val="8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2"/>
      <color theme="7" tint="0.79998168889431442"/>
      <name val="Calibri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886D8"/>
        <bgColor indexed="64"/>
      </patternFill>
    </fill>
    <fill>
      <patternFill patternType="solid">
        <fgColor theme="7" tint="-0.249977111117893"/>
        <bgColor theme="8"/>
      </patternFill>
    </fill>
    <fill>
      <patternFill patternType="solid">
        <fgColor theme="7" tint="-0.499984740745262"/>
        <bgColor theme="8"/>
      </patternFill>
    </fill>
    <fill>
      <patternFill patternType="solid">
        <fgColor theme="5" tint="-0.249977111117893"/>
        <bgColor theme="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B7B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8"/>
      </patternFill>
    </fill>
    <fill>
      <patternFill patternType="solid">
        <fgColor theme="9" tint="-0.499984740745262"/>
        <bgColor theme="8"/>
      </patternFill>
    </fill>
    <fill>
      <patternFill patternType="solid">
        <fgColor theme="0" tint="-0.14999847407452621"/>
        <bgColor theme="8" tint="0.59999389629810485"/>
      </patternFill>
    </fill>
    <fill>
      <patternFill patternType="solid">
        <fgColor rgb="FFB245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B6A37"/>
        <bgColor theme="8"/>
      </patternFill>
    </fill>
    <fill>
      <patternFill patternType="solid">
        <fgColor rgb="FF689649"/>
        <bgColor indexed="64"/>
      </patternFill>
    </fill>
    <fill>
      <patternFill patternType="solid">
        <fgColor theme="0" tint="-4.9989318521683403E-2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0"/>
      </top>
      <bottom/>
      <diagonal/>
    </border>
    <border>
      <left/>
      <right style="thin">
        <color theme="8" tint="-0.2499465926084170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ck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ck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9" tint="0.39994506668294322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4" tint="0.39994506668294322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double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double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/>
      <top/>
      <bottom style="thin">
        <color indexed="64"/>
      </bottom>
      <diagonal/>
    </border>
    <border>
      <left style="medium">
        <color theme="9" tint="0.39994506668294322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double">
        <color theme="2" tint="-0.749961851863155"/>
      </right>
      <top/>
      <bottom style="thin">
        <color theme="2" tint="-0.749961851863155"/>
      </bottom>
      <diagonal/>
    </border>
    <border>
      <left style="double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medium">
        <color theme="9" tint="0.39994506668294322"/>
      </left>
      <right style="thin">
        <color theme="2" tint="-0.749961851863155"/>
      </right>
      <top style="medium">
        <color theme="9" tint="0.39994506668294322"/>
      </top>
      <bottom style="medium">
        <color theme="9" tint="-0.499984740745262"/>
      </bottom>
      <diagonal/>
    </border>
    <border>
      <left style="thin">
        <color theme="2" tint="-0.749961851863155"/>
      </left>
      <right style="double">
        <color theme="2" tint="-0.749961851863155"/>
      </right>
      <top style="medium">
        <color theme="9" tint="0.39994506668294322"/>
      </top>
      <bottom style="medium">
        <color theme="9" tint="-0.499984740745262"/>
      </bottom>
      <diagonal/>
    </border>
    <border>
      <left style="double">
        <color theme="2" tint="-0.749961851863155"/>
      </left>
      <right style="thin">
        <color theme="2" tint="-0.749961851863155"/>
      </right>
      <top style="medium">
        <color theme="9"/>
      </top>
      <bottom style="medium">
        <color theme="9" tint="-0.499984740745262"/>
      </bottom>
      <diagonal/>
    </border>
    <border>
      <left style="thin">
        <color theme="2" tint="-0.749961851863155"/>
      </left>
      <right style="thick">
        <color theme="2" tint="-0.749961851863155"/>
      </right>
      <top style="medium">
        <color theme="7"/>
      </top>
      <bottom style="medium">
        <color theme="7" tint="-0.499984740745262"/>
      </bottom>
      <diagonal/>
    </border>
    <border>
      <left style="thin">
        <color theme="2" tint="-0.749961851863155"/>
      </left>
      <right style="thick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7"/>
      </top>
      <bottom style="medium">
        <color theme="7" tint="-0.499984740745262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5"/>
      </top>
      <bottom style="medium">
        <color theme="5" tint="-0.499984740745262"/>
      </bottom>
      <diagonal/>
    </border>
    <border>
      <left style="thick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5"/>
      </top>
      <bottom style="medium">
        <color theme="5" tint="-0.499984740745262"/>
      </bottom>
      <diagonal/>
    </border>
    <border>
      <left/>
      <right style="thin">
        <color theme="2" tint="-0.749961851863155"/>
      </right>
      <top style="medium">
        <color theme="5"/>
      </top>
      <bottom style="medium">
        <color theme="5" tint="-0.499984740745262"/>
      </bottom>
      <diagonal/>
    </border>
    <border>
      <left style="thin">
        <color auto="1"/>
      </left>
      <right style="thin">
        <color auto="1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 style="thin">
        <color theme="2" tint="-0.749961851863155"/>
      </left>
      <right style="thin">
        <color indexed="64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indexed="64"/>
      </right>
      <top style="thin">
        <color theme="2" tint="-0.749961851863155"/>
      </top>
      <bottom/>
      <diagonal/>
    </border>
    <border>
      <left style="medium">
        <color theme="9" tint="0.39994506668294322"/>
      </left>
      <right style="thin">
        <color theme="2" tint="-0.749961851863155"/>
      </right>
      <top style="medium">
        <color theme="9" tint="0.39994506668294322"/>
      </top>
      <bottom style="thick">
        <color rgb="FF29411B"/>
      </bottom>
      <diagonal/>
    </border>
    <border>
      <left style="medium">
        <color theme="9" tint="0.39994506668294322"/>
      </left>
      <right style="thin">
        <color theme="2" tint="-0.749961851863155"/>
      </right>
      <top style="thick">
        <color rgb="FF29411B"/>
      </top>
      <bottom/>
      <diagonal/>
    </border>
    <border>
      <left style="medium">
        <color theme="9" tint="0.39994506668294322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ck">
        <color theme="2" tint="-0.749961851863155"/>
      </right>
      <top/>
      <bottom/>
      <diagonal/>
    </border>
    <border>
      <left style="thin">
        <color theme="2" tint="-0.749961851863155"/>
      </left>
      <right style="double">
        <color theme="2" tint="-0.749961851863155"/>
      </right>
      <top style="medium">
        <color theme="9" tint="0.39994506668294322"/>
      </top>
      <bottom style="thick">
        <color rgb="FF29411B"/>
      </bottom>
      <diagonal/>
    </border>
    <border>
      <left style="double">
        <color theme="2" tint="-0.749961851863155"/>
      </left>
      <right style="thin">
        <color theme="2" tint="-0.749961851863155"/>
      </right>
      <top style="medium">
        <color theme="9"/>
      </top>
      <bottom style="thick">
        <color rgb="FF29411B"/>
      </bottom>
      <diagonal/>
    </border>
    <border>
      <left style="thin">
        <color theme="2" tint="-0.749961851863155"/>
      </left>
      <right style="double">
        <color theme="2" tint="-0.749961851863155"/>
      </right>
      <top style="thick">
        <color rgb="FF29411B"/>
      </top>
      <bottom/>
      <diagonal/>
    </border>
    <border>
      <left style="double">
        <color theme="2" tint="-0.749961851863155"/>
      </left>
      <right style="thin">
        <color theme="2" tint="-0.749961851863155"/>
      </right>
      <top style="thick">
        <color rgb="FF29411B"/>
      </top>
      <bottom/>
      <diagonal/>
    </border>
    <border>
      <left style="thin">
        <color theme="2" tint="-0.749961851863155"/>
      </left>
      <right style="double">
        <color theme="2" tint="-0.749961851863155"/>
      </right>
      <top/>
      <bottom/>
      <diagonal/>
    </border>
    <border>
      <left style="double">
        <color theme="2" tint="-0.749961851863155"/>
      </left>
      <right style="thin">
        <color theme="2" tint="-0.749961851863155"/>
      </right>
      <top/>
      <bottom/>
      <diagonal/>
    </border>
    <border>
      <left style="double">
        <color theme="2" tint="-0.749961851863155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medium">
        <color theme="9" tint="0.39994506668294322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double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749961851863155"/>
      </right>
      <top/>
      <bottom style="thick">
        <color theme="2" tint="-0.89996032593768116"/>
      </bottom>
      <diagonal/>
    </border>
    <border>
      <left/>
      <right style="thin">
        <color auto="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9" tint="0.39994506668294322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/>
      <bottom/>
      <diagonal/>
    </border>
    <border>
      <left style="thin">
        <color theme="2" tint="-0.749961851863155"/>
      </left>
      <right style="thick">
        <color theme="2" tint="-0.89996032593768116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double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double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7"/>
      </top>
      <bottom style="thick">
        <color rgb="FF644A00"/>
      </bottom>
      <diagonal/>
    </border>
    <border>
      <left style="thin">
        <color theme="2" tint="-0.749961851863155"/>
      </left>
      <right style="thin">
        <color theme="2" tint="-0.749961851863155"/>
      </right>
      <top style="thick">
        <color rgb="FF644A00"/>
      </top>
      <bottom/>
      <diagonal/>
    </border>
    <border>
      <left style="thin">
        <color theme="2" tint="-0.749961851863155"/>
      </left>
      <right/>
      <top style="medium">
        <color theme="9"/>
      </top>
      <bottom style="thick">
        <color rgb="FF29411B"/>
      </bottom>
      <diagonal/>
    </border>
    <border>
      <left style="thin">
        <color theme="2" tint="-0.749961851863155"/>
      </left>
      <right/>
      <top style="thick">
        <color rgb="FF29411B"/>
      </top>
      <bottom/>
      <diagonal/>
    </border>
    <border>
      <left style="thin">
        <color theme="2" tint="-0.749961851863155"/>
      </left>
      <right/>
      <top/>
      <bottom style="thick">
        <color theme="2" tint="-0.89996032593768116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7"/>
      </top>
      <bottom style="thick">
        <color rgb="FF644A00"/>
      </bottom>
      <diagonal/>
    </border>
    <border>
      <left style="thin">
        <color theme="2" tint="-0.749961851863155"/>
      </left>
      <right style="thick">
        <color theme="2" tint="-0.749961851863155"/>
      </right>
      <top style="medium">
        <color theme="7"/>
      </top>
      <bottom style="thick">
        <color rgb="FF644A00"/>
      </bottom>
      <diagonal/>
    </border>
    <border>
      <left style="thick">
        <color theme="2" tint="-0.749961851863155"/>
      </left>
      <right style="thin">
        <color theme="2" tint="-0.749961851863155"/>
      </right>
      <top style="thick">
        <color rgb="FF644A00"/>
      </top>
      <bottom/>
      <diagonal/>
    </border>
    <border>
      <left style="thin">
        <color theme="2" tint="-0.749961851863155"/>
      </left>
      <right style="thick">
        <color theme="2" tint="-0.749961851863155"/>
      </right>
      <top style="thick">
        <color rgb="FF644A00"/>
      </top>
      <bottom/>
      <diagonal/>
    </border>
    <border>
      <left style="thick">
        <color theme="2" tint="-0.749961851863155"/>
      </left>
      <right style="thin">
        <color theme="2" tint="-0.749961851863155"/>
      </right>
      <top/>
      <bottom/>
      <diagonal/>
    </border>
    <border>
      <left style="thick">
        <color theme="2" tint="-0.749961851863155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/>
      <top style="medium">
        <color theme="9"/>
      </top>
      <bottom style="medium">
        <color theme="9" tint="-0.499984740745262"/>
      </bottom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ck">
        <color theme="2" tint="-0.89996032593768116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7"/>
      </top>
      <bottom style="medium">
        <color theme="7" tint="-0.499984740745262"/>
      </bottom>
      <diagonal/>
    </border>
    <border>
      <left style="thick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thin">
        <color theme="2" tint="-0.749961851863155"/>
      </right>
      <top style="thick">
        <color rgb="FF6A310A"/>
      </top>
      <bottom/>
      <diagonal/>
    </border>
    <border>
      <left/>
      <right/>
      <top style="medium">
        <color theme="0" tint="-0.24994659260841701"/>
      </top>
      <bottom style="thick">
        <color theme="1" tint="4.9989318521683403E-2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ck">
        <color theme="2" tint="-0.89996032593768116"/>
      </bottom>
      <diagonal/>
    </border>
    <border>
      <left/>
      <right/>
      <top style="medium">
        <color theme="0" tint="-0.24994659260841701"/>
      </top>
      <bottom style="thick">
        <color theme="2" tint="-0.89996032593768116"/>
      </bottom>
      <diagonal/>
    </border>
    <border>
      <left/>
      <right style="thick">
        <color theme="2" tint="-0.89996032593768116"/>
      </right>
      <top style="medium">
        <color theme="0" tint="-0.24994659260841701"/>
      </top>
      <bottom style="thick">
        <color theme="2" tint="-0.89996032593768116"/>
      </bottom>
      <diagonal/>
    </border>
    <border>
      <left style="medium">
        <color theme="4" tint="0.39994506668294322"/>
      </left>
      <right style="thin">
        <color theme="2" tint="-0.749961851863155"/>
      </right>
      <top style="medium">
        <color theme="4" tint="0.39994506668294322"/>
      </top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0"/>
      </top>
      <bottom style="thin">
        <color theme="2" tint="-0.749961851863155"/>
      </bottom>
      <diagonal/>
    </border>
    <border>
      <left style="medium">
        <color theme="4" tint="0.39994506668294322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medium">
        <color theme="4" tint="0.39991454817346722"/>
      </left>
      <right style="thin">
        <color theme="2" tint="-0.749961851863155"/>
      </right>
      <top style="medium">
        <color theme="4" tint="0.39991454817346722"/>
      </top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4" tint="0.39994506668294322"/>
      </top>
      <bottom style="thin">
        <color theme="2" tint="-0.749961851863155"/>
      </bottom>
      <diagonal/>
    </border>
    <border>
      <left/>
      <right style="medium">
        <color theme="2" tint="-0.89996032593768116"/>
      </right>
      <top style="medium">
        <color theme="0" tint="-0.24994659260841701"/>
      </top>
      <bottom style="thick">
        <color theme="1" tint="4.9989318521683403E-2"/>
      </bottom>
      <diagonal/>
    </border>
    <border>
      <left/>
      <right style="medium">
        <color theme="2" tint="-0.89996032593768116"/>
      </right>
      <top/>
      <bottom/>
      <diagonal/>
    </border>
    <border>
      <left style="thin">
        <color theme="2" tint="-0.749961851863155"/>
      </left>
      <right style="medium">
        <color theme="2" tint="-0.89996032593768116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medium">
        <color theme="2" tint="-0.89996032593768116"/>
      </right>
      <top/>
      <bottom/>
      <diagonal/>
    </border>
    <border>
      <left style="thin">
        <color theme="2" tint="-0.749961851863155"/>
      </left>
      <right style="medium">
        <color theme="2" tint="-0.89996032593768116"/>
      </right>
      <top/>
      <bottom style="thick">
        <color theme="2" tint="-0.89996032593768116"/>
      </bottom>
      <diagonal/>
    </border>
    <border>
      <left/>
      <right style="thin">
        <color theme="2" tint="-0.749961851863155"/>
      </right>
      <top style="medium">
        <color theme="5"/>
      </top>
      <bottom style="thick">
        <color rgb="FF6A310A"/>
      </bottom>
      <diagonal/>
    </border>
    <border>
      <left/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thick">
        <color theme="2" tint="-0.89996032593768116"/>
      </right>
      <top style="thick">
        <color rgb="FF6A310A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5"/>
      </top>
      <bottom style="medium">
        <color theme="5" tint="-0.499984740745262"/>
      </bottom>
      <diagonal/>
    </border>
    <border>
      <left style="thick">
        <color theme="2" tint="-0.89996032593768116"/>
      </left>
      <right/>
      <top/>
      <bottom/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0"/>
      </bottom>
      <diagonal/>
    </border>
    <border>
      <left style="thin">
        <color theme="8" tint="-0.24994659260841701"/>
      </left>
      <right/>
      <top style="thin">
        <color theme="0"/>
      </top>
      <bottom style="thin">
        <color theme="0"/>
      </bottom>
      <diagonal/>
    </border>
    <border>
      <left style="thin">
        <color theme="8" tint="-0.24994659260841701"/>
      </left>
      <right/>
      <top style="thin">
        <color theme="0"/>
      </top>
      <bottom/>
      <diagonal/>
    </border>
    <border>
      <left style="thin">
        <color indexed="64"/>
      </left>
      <right style="thin">
        <color theme="8" tint="-0.2499465926084170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8" tint="-0.24994659260841701"/>
      </right>
      <top style="thin">
        <color theme="0"/>
      </top>
      <bottom/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2" tint="-0.749961851863155"/>
      </left>
      <right style="thick">
        <color theme="2" tint="-0.89996032593768116"/>
      </right>
      <top style="thin">
        <color theme="2" tint="-0.749961851863155"/>
      </top>
      <bottom style="medium">
        <color indexed="64"/>
      </bottom>
      <diagonal/>
    </border>
  </borders>
  <cellStyleXfs count="1">
    <xf numFmtId="0" fontId="0" fillId="0" borderId="0"/>
  </cellStyleXfs>
  <cellXfs count="32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/>
    <xf numFmtId="0" fontId="0" fillId="0" borderId="4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1" fontId="0" fillId="0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/>
    <xf numFmtId="2" fontId="0" fillId="0" borderId="14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3" fontId="23" fillId="0" borderId="18" xfId="0" applyNumberFormat="1" applyFont="1" applyFill="1" applyBorder="1" applyAlignment="1" applyProtection="1">
      <alignment horizontal="center" vertical="center"/>
    </xf>
    <xf numFmtId="0" fontId="23" fillId="0" borderId="18" xfId="0" applyNumberFormat="1" applyFont="1" applyFill="1" applyBorder="1" applyAlignment="1" applyProtection="1">
      <alignment horizontal="center" vertical="center"/>
    </xf>
    <xf numFmtId="10" fontId="23" fillId="0" borderId="18" xfId="0" applyNumberFormat="1" applyFont="1" applyFill="1" applyBorder="1" applyAlignment="1" applyProtection="1">
      <alignment horizontal="center" vertical="center"/>
    </xf>
    <xf numFmtId="164" fontId="23" fillId="0" borderId="18" xfId="0" applyNumberFormat="1" applyFont="1" applyFill="1" applyBorder="1" applyAlignment="1" applyProtection="1">
      <alignment horizontal="center" vertical="center"/>
    </xf>
    <xf numFmtId="166" fontId="6" fillId="19" borderId="18" xfId="0" applyNumberFormat="1" applyFont="1" applyFill="1" applyBorder="1" applyAlignment="1" applyProtection="1">
      <alignment horizontal="center" vertical="center"/>
    </xf>
    <xf numFmtId="0" fontId="6" fillId="19" borderId="18" xfId="0" applyNumberFormat="1" applyFont="1" applyFill="1" applyBorder="1" applyAlignment="1" applyProtection="1">
      <alignment horizontal="center" vertical="center"/>
    </xf>
    <xf numFmtId="166" fontId="24" fillId="19" borderId="18" xfId="0" applyNumberFormat="1" applyFont="1" applyFill="1" applyBorder="1" applyAlignment="1" applyProtection="1">
      <alignment horizontal="center" vertical="center"/>
    </xf>
    <xf numFmtId="0" fontId="24" fillId="19" borderId="18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vertical="center" wrapText="1"/>
    </xf>
    <xf numFmtId="0" fontId="0" fillId="20" borderId="17" xfId="0" applyFill="1" applyBorder="1" applyAlignment="1" applyProtection="1">
      <alignment vertical="center" wrapText="1"/>
    </xf>
    <xf numFmtId="0" fontId="0" fillId="20" borderId="19" xfId="0" applyFill="1" applyBorder="1" applyAlignment="1" applyProtection="1">
      <alignment vertical="center" wrapText="1"/>
    </xf>
    <xf numFmtId="0" fontId="0" fillId="0" borderId="13" xfId="0" applyBorder="1" applyAlignment="1" applyProtection="1">
      <alignment vertical="center"/>
    </xf>
    <xf numFmtId="164" fontId="0" fillId="0" borderId="13" xfId="0" applyNumberFormat="1" applyBorder="1" applyAlignment="1" applyProtection="1">
      <alignment vertical="center"/>
    </xf>
    <xf numFmtId="3" fontId="12" fillId="0" borderId="18" xfId="0" applyNumberFormat="1" applyFont="1" applyFill="1" applyBorder="1" applyAlignment="1" applyProtection="1">
      <alignment horizontal="center" vertical="center"/>
    </xf>
    <xf numFmtId="0" fontId="12" fillId="0" borderId="18" xfId="0" applyNumberFormat="1" applyFont="1" applyFill="1" applyBorder="1" applyAlignment="1" applyProtection="1">
      <alignment horizontal="center" vertical="center"/>
    </xf>
    <xf numFmtId="10" fontId="12" fillId="0" borderId="18" xfId="0" applyNumberFormat="1" applyFont="1" applyFill="1" applyBorder="1" applyAlignment="1" applyProtection="1">
      <alignment horizontal="center" vertical="center"/>
    </xf>
    <xf numFmtId="164" fontId="12" fillId="0" borderId="18" xfId="0" applyNumberFormat="1" applyFont="1" applyFill="1" applyBorder="1" applyAlignment="1" applyProtection="1">
      <alignment horizontal="center" vertical="center"/>
    </xf>
    <xf numFmtId="0" fontId="0" fillId="0" borderId="13" xfId="0" applyFont="1" applyBorder="1" applyAlignment="1" applyProtection="1">
      <alignment vertical="center"/>
    </xf>
    <xf numFmtId="164" fontId="0" fillId="0" borderId="13" xfId="0" applyNumberFormat="1" applyFont="1" applyBorder="1" applyAlignment="1" applyProtection="1">
      <alignment vertical="center"/>
    </xf>
    <xf numFmtId="0" fontId="0" fillId="0" borderId="13" xfId="0" applyBorder="1" applyProtection="1"/>
    <xf numFmtId="164" fontId="0" fillId="0" borderId="13" xfId="0" applyNumberFormat="1" applyBorder="1" applyProtection="1"/>
    <xf numFmtId="0" fontId="26" fillId="0" borderId="0" xfId="0" applyFont="1" applyFill="1" applyAlignment="1">
      <alignment horizontal="center"/>
    </xf>
    <xf numFmtId="0" fontId="25" fillId="23" borderId="0" xfId="0" applyFont="1" applyFill="1"/>
    <xf numFmtId="164" fontId="0" fillId="24" borderId="22" xfId="0" applyNumberFormat="1" applyFill="1" applyBorder="1"/>
    <xf numFmtId="164" fontId="0" fillId="21" borderId="22" xfId="0" applyNumberFormat="1" applyFill="1" applyBorder="1"/>
    <xf numFmtId="164" fontId="25" fillId="23" borderId="20" xfId="0" applyNumberFormat="1" applyFont="1" applyFill="1" applyBorder="1" applyAlignment="1">
      <alignment horizontal="center"/>
    </xf>
    <xf numFmtId="164" fontId="25" fillId="23" borderId="21" xfId="0" applyNumberFormat="1" applyFont="1" applyFill="1" applyBorder="1" applyAlignment="1">
      <alignment horizontal="center"/>
    </xf>
    <xf numFmtId="0" fontId="0" fillId="0" borderId="0" xfId="0" applyNumberFormat="1"/>
    <xf numFmtId="164" fontId="25" fillId="23" borderId="0" xfId="0" applyNumberFormat="1" applyFont="1" applyFill="1" applyBorder="1" applyAlignment="1">
      <alignment horizontal="center"/>
    </xf>
    <xf numFmtId="164" fontId="25" fillId="23" borderId="23" xfId="0" applyNumberFormat="1" applyFont="1" applyFill="1" applyBorder="1" applyAlignment="1">
      <alignment horizontal="center"/>
    </xf>
    <xf numFmtId="164" fontId="25" fillId="23" borderId="24" xfId="0" applyNumberFormat="1" applyFont="1" applyFill="1" applyBorder="1" applyAlignment="1">
      <alignment horizontal="center"/>
    </xf>
    <xf numFmtId="165" fontId="0" fillId="24" borderId="13" xfId="0" applyNumberFormat="1" applyFill="1" applyBorder="1"/>
    <xf numFmtId="165" fontId="0" fillId="21" borderId="13" xfId="0" applyNumberFormat="1" applyFill="1" applyBorder="1"/>
    <xf numFmtId="3" fontId="0" fillId="24" borderId="13" xfId="0" applyNumberFormat="1" applyFill="1" applyBorder="1"/>
    <xf numFmtId="3" fontId="0" fillId="21" borderId="13" xfId="0" applyNumberFormat="1" applyFill="1" applyBorder="1"/>
    <xf numFmtId="3" fontId="0" fillId="24" borderId="13" xfId="0" applyNumberFormat="1" applyFill="1" applyBorder="1" applyAlignment="1">
      <alignment horizontal="right"/>
    </xf>
    <xf numFmtId="0" fontId="0" fillId="21" borderId="13" xfId="0" applyNumberFormat="1" applyFill="1" applyBorder="1" applyAlignment="1">
      <alignment horizontal="right"/>
    </xf>
    <xf numFmtId="0" fontId="0" fillId="24" borderId="13" xfId="0" applyNumberFormat="1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1" fontId="0" fillId="0" borderId="8" xfId="0" applyNumberFormat="1" applyFont="1" applyFill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2" fontId="0" fillId="0" borderId="8" xfId="0" applyNumberFormat="1" applyFont="1" applyFill="1" applyBorder="1" applyAlignment="1">
      <alignment horizontal="center" vertical="center"/>
    </xf>
    <xf numFmtId="10" fontId="0" fillId="0" borderId="1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165" fontId="0" fillId="25" borderId="15" xfId="0" applyNumberFormat="1" applyFont="1" applyFill="1" applyBorder="1" applyAlignment="1">
      <alignment horizontal="center" vertical="center"/>
    </xf>
    <xf numFmtId="0" fontId="0" fillId="26" borderId="0" xfId="0" applyFill="1" applyAlignment="1" applyProtection="1"/>
    <xf numFmtId="0" fontId="0" fillId="26" borderId="0" xfId="0" applyFill="1" applyProtection="1"/>
    <xf numFmtId="0" fontId="0" fillId="26" borderId="0" xfId="0" applyFill="1" applyBorder="1" applyAlignment="1" applyProtection="1">
      <alignment vertical="top" wrapText="1"/>
    </xf>
    <xf numFmtId="0" fontId="0" fillId="26" borderId="0" xfId="0" applyFill="1" applyBorder="1" applyAlignment="1" applyProtection="1">
      <alignment vertical="center"/>
    </xf>
    <xf numFmtId="0" fontId="0" fillId="26" borderId="0" xfId="0" applyFill="1" applyBorder="1" applyAlignment="1" applyProtection="1">
      <alignment horizontal="right" vertical="center"/>
    </xf>
    <xf numFmtId="0" fontId="0" fillId="26" borderId="0" xfId="0" applyFill="1" applyBorder="1" applyAlignment="1" applyProtection="1">
      <alignment horizontal="left"/>
    </xf>
    <xf numFmtId="164" fontId="0" fillId="26" borderId="0" xfId="0" applyNumberFormat="1" applyFill="1" applyBorder="1" applyAlignment="1" applyProtection="1">
      <alignment vertical="center"/>
    </xf>
    <xf numFmtId="0" fontId="0" fillId="27" borderId="0" xfId="0" applyFill="1" applyBorder="1" applyProtection="1"/>
    <xf numFmtId="0" fontId="0" fillId="27" borderId="0" xfId="0" applyFill="1" applyProtection="1"/>
    <xf numFmtId="2" fontId="0" fillId="27" borderId="0" xfId="0" applyNumberFormat="1" applyFill="1" applyAlignment="1" applyProtection="1"/>
    <xf numFmtId="166" fontId="0" fillId="27" borderId="0" xfId="0" applyNumberFormat="1" applyFill="1" applyProtection="1"/>
    <xf numFmtId="0" fontId="0" fillId="27" borderId="0" xfId="0" applyFill="1" applyAlignment="1" applyProtection="1"/>
    <xf numFmtId="0" fontId="18" fillId="27" borderId="0" xfId="0" applyFont="1" applyFill="1" applyBorder="1" applyAlignment="1" applyProtection="1"/>
    <xf numFmtId="0" fontId="0" fillId="27" borderId="25" xfId="0" applyFill="1" applyBorder="1" applyAlignment="1" applyProtection="1"/>
    <xf numFmtId="0" fontId="0" fillId="27" borderId="26" xfId="0" applyFill="1" applyBorder="1" applyAlignment="1" applyProtection="1"/>
    <xf numFmtId="0" fontId="0" fillId="27" borderId="0" xfId="0" applyFont="1" applyFill="1" applyBorder="1" applyAlignment="1" applyProtection="1"/>
    <xf numFmtId="0" fontId="0" fillId="26" borderId="0" xfId="0" applyFill="1" applyBorder="1" applyProtection="1"/>
    <xf numFmtId="0" fontId="0" fillId="26" borderId="0" xfId="0" applyFill="1" applyBorder="1" applyAlignment="1" applyProtection="1">
      <alignment vertical="center" wrapText="1"/>
    </xf>
    <xf numFmtId="0" fontId="28" fillId="27" borderId="0" xfId="0" applyFont="1" applyFill="1" applyAlignment="1" applyProtection="1">
      <alignment vertical="center" wrapText="1"/>
    </xf>
    <xf numFmtId="0" fontId="28" fillId="26" borderId="0" xfId="0" applyFont="1" applyFill="1" applyBorder="1" applyProtection="1"/>
    <xf numFmtId="166" fontId="24" fillId="19" borderId="27" xfId="0" applyNumberFormat="1" applyFont="1" applyFill="1" applyBorder="1" applyAlignment="1" applyProtection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0" fillId="27" borderId="0" xfId="0" applyFill="1" applyBorder="1" applyAlignment="1" applyProtection="1">
      <alignment horizontal="right"/>
    </xf>
    <xf numFmtId="0" fontId="0" fillId="26" borderId="0" xfId="0" applyFill="1" applyBorder="1" applyAlignment="1" applyProtection="1"/>
    <xf numFmtId="0" fontId="0" fillId="0" borderId="0" xfId="0" applyAlignment="1">
      <alignment horizontal="center" vertical="center" wrapText="1"/>
    </xf>
    <xf numFmtId="0" fontId="18" fillId="28" borderId="0" xfId="0" applyFont="1" applyFill="1" applyBorder="1" applyAlignment="1" applyProtection="1">
      <alignment horizontal="left"/>
    </xf>
    <xf numFmtId="0" fontId="18" fillId="28" borderId="0" xfId="0" applyFont="1" applyFill="1" applyBorder="1" applyAlignment="1" applyProtection="1">
      <alignment horizontal="left" vertical="center"/>
    </xf>
    <xf numFmtId="0" fontId="18" fillId="28" borderId="0" xfId="0" applyFont="1" applyFill="1" applyBorder="1" applyAlignment="1" applyProtection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3" fontId="12" fillId="0" borderId="30" xfId="0" applyNumberFormat="1" applyFont="1" applyFill="1" applyBorder="1" applyAlignment="1" applyProtection="1">
      <alignment horizontal="center" vertical="center"/>
    </xf>
    <xf numFmtId="0" fontId="12" fillId="0" borderId="31" xfId="0" applyNumberFormat="1" applyFont="1" applyFill="1" applyBorder="1" applyAlignment="1" applyProtection="1">
      <alignment horizontal="center" vertical="center"/>
    </xf>
    <xf numFmtId="3" fontId="23" fillId="0" borderId="30" xfId="0" applyNumberFormat="1" applyFont="1" applyFill="1" applyBorder="1" applyAlignment="1" applyProtection="1">
      <alignment horizontal="center" vertical="center"/>
    </xf>
    <xf numFmtId="0" fontId="23" fillId="0" borderId="31" xfId="0" applyNumberFormat="1" applyFont="1" applyFill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vertical="center"/>
    </xf>
    <xf numFmtId="164" fontId="0" fillId="0" borderId="1" xfId="0" applyNumberFormat="1" applyBorder="1" applyProtection="1"/>
    <xf numFmtId="167" fontId="12" fillId="0" borderId="32" xfId="0" applyNumberFormat="1" applyFont="1" applyFill="1" applyBorder="1" applyAlignment="1" applyProtection="1">
      <alignment horizontal="center" vertical="center"/>
    </xf>
    <xf numFmtId="166" fontId="0" fillId="27" borderId="0" xfId="0" applyNumberFormat="1" applyFill="1" applyBorder="1" applyProtection="1"/>
    <xf numFmtId="1" fontId="12" fillId="27" borderId="26" xfId="0" applyNumberFormat="1" applyFont="1" applyFill="1" applyBorder="1" applyAlignment="1" applyProtection="1">
      <alignment horizontal="center" vertical="center"/>
    </xf>
    <xf numFmtId="1" fontId="23" fillId="27" borderId="26" xfId="0" applyNumberFormat="1" applyFont="1" applyFill="1" applyBorder="1" applyAlignment="1" applyProtection="1">
      <alignment horizontal="center" vertical="center"/>
    </xf>
    <xf numFmtId="164" fontId="12" fillId="0" borderId="35" xfId="0" applyNumberFormat="1" applyFont="1" applyFill="1" applyBorder="1" applyAlignment="1" applyProtection="1">
      <alignment horizontal="center" vertical="center"/>
    </xf>
    <xf numFmtId="167" fontId="12" fillId="0" borderId="36" xfId="0" applyNumberFormat="1" applyFont="1" applyFill="1" applyBorder="1" applyAlignment="1" applyProtection="1">
      <alignment horizontal="center" vertical="center"/>
    </xf>
    <xf numFmtId="10" fontId="12" fillId="0" borderId="27" xfId="0" applyNumberFormat="1" applyFont="1" applyFill="1" applyBorder="1" applyAlignment="1" applyProtection="1">
      <alignment horizontal="center" vertical="center"/>
    </xf>
    <xf numFmtId="10" fontId="23" fillId="0" borderId="27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0" fillId="26" borderId="37" xfId="0" applyFill="1" applyBorder="1" applyAlignment="1" applyProtection="1"/>
    <xf numFmtId="167" fontId="12" fillId="0" borderId="38" xfId="0" applyNumberFormat="1" applyFont="1" applyFill="1" applyBorder="1" applyAlignment="1" applyProtection="1">
      <alignment horizontal="center" vertical="center"/>
    </xf>
    <xf numFmtId="164" fontId="12" fillId="0" borderId="39" xfId="0" applyNumberFormat="1" applyFont="1" applyFill="1" applyBorder="1" applyAlignment="1" applyProtection="1">
      <alignment horizontal="center" vertical="center"/>
    </xf>
    <xf numFmtId="167" fontId="12" fillId="0" borderId="40" xfId="0" applyNumberFormat="1" applyFont="1" applyFill="1" applyBorder="1" applyAlignment="1" applyProtection="1">
      <alignment horizontal="center" vertical="center"/>
    </xf>
    <xf numFmtId="0" fontId="21" fillId="30" borderId="41" xfId="0" applyFont="1" applyFill="1" applyBorder="1" applyAlignment="1" applyProtection="1">
      <alignment horizontal="center" vertical="center" wrapText="1"/>
    </xf>
    <xf numFmtId="0" fontId="21" fillId="30" borderId="42" xfId="0" applyFont="1" applyFill="1" applyBorder="1" applyAlignment="1" applyProtection="1">
      <alignment horizontal="center" vertical="center" wrapText="1"/>
    </xf>
    <xf numFmtId="0" fontId="21" fillId="15" borderId="43" xfId="0" applyFont="1" applyFill="1" applyBorder="1" applyAlignment="1" applyProtection="1">
      <alignment horizontal="center" vertical="center" wrapText="1"/>
    </xf>
    <xf numFmtId="3" fontId="12" fillId="0" borderId="34" xfId="0" applyNumberFormat="1" applyFont="1" applyFill="1" applyBorder="1" applyAlignment="1" applyProtection="1">
      <alignment horizontal="center" vertical="center"/>
    </xf>
    <xf numFmtId="3" fontId="12" fillId="0" borderId="45" xfId="0" applyNumberFormat="1" applyFont="1" applyFill="1" applyBorder="1" applyAlignment="1" applyProtection="1">
      <alignment horizontal="center" vertical="center"/>
    </xf>
    <xf numFmtId="0" fontId="20" fillId="7" borderId="46" xfId="0" applyFont="1" applyFill="1" applyBorder="1" applyAlignment="1" applyProtection="1">
      <alignment horizontal="center" vertical="center" wrapText="1"/>
    </xf>
    <xf numFmtId="0" fontId="20" fillId="7" borderId="44" xfId="0" applyFont="1" applyFill="1" applyBorder="1" applyAlignment="1" applyProtection="1">
      <alignment horizontal="center" vertical="center" wrapText="1"/>
    </xf>
    <xf numFmtId="0" fontId="12" fillId="0" borderId="49" xfId="0" applyNumberFormat="1" applyFont="1" applyFill="1" applyBorder="1" applyAlignment="1" applyProtection="1">
      <alignment horizontal="center" vertical="center"/>
    </xf>
    <xf numFmtId="0" fontId="12" fillId="0" borderId="34" xfId="0" applyNumberFormat="1" applyFont="1" applyFill="1" applyBorder="1" applyAlignment="1" applyProtection="1">
      <alignment horizontal="center" vertical="center"/>
    </xf>
    <xf numFmtId="10" fontId="12" fillId="0" borderId="47" xfId="0" applyNumberFormat="1" applyFont="1" applyFill="1" applyBorder="1" applyAlignment="1" applyProtection="1">
      <alignment horizontal="center" vertical="center"/>
    </xf>
    <xf numFmtId="10" fontId="12" fillId="0" borderId="34" xfId="0" applyNumberFormat="1" applyFont="1" applyFill="1" applyBorder="1" applyAlignment="1" applyProtection="1">
      <alignment horizontal="center" vertical="center"/>
    </xf>
    <xf numFmtId="164" fontId="12" fillId="0" borderId="34" xfId="0" applyNumberFormat="1" applyFont="1" applyFill="1" applyBorder="1" applyAlignment="1" applyProtection="1">
      <alignment horizontal="center" vertical="center"/>
    </xf>
    <xf numFmtId="0" fontId="8" fillId="9" borderId="48" xfId="0" applyFont="1" applyFill="1" applyBorder="1" applyAlignment="1" applyProtection="1">
      <alignment horizontal="center" vertical="center" wrapText="1"/>
    </xf>
    <xf numFmtId="0" fontId="8" fillId="9" borderId="50" xfId="0" applyFont="1" applyFill="1" applyBorder="1" applyAlignment="1" applyProtection="1">
      <alignment horizontal="center" vertical="center" wrapText="1"/>
    </xf>
    <xf numFmtId="0" fontId="8" fillId="9" borderId="51" xfId="0" applyFont="1" applyFill="1" applyBorder="1" applyAlignment="1" applyProtection="1">
      <alignment horizontal="center" vertical="center" wrapText="1"/>
    </xf>
    <xf numFmtId="166" fontId="6" fillId="19" borderId="52" xfId="0" applyNumberFormat="1" applyFont="1" applyFill="1" applyBorder="1" applyAlignment="1" applyProtection="1">
      <alignment horizontal="center" vertical="center"/>
    </xf>
    <xf numFmtId="0" fontId="6" fillId="19" borderId="52" xfId="0" applyNumberFormat="1" applyFont="1" applyFill="1" applyBorder="1" applyAlignment="1" applyProtection="1">
      <alignment horizontal="center" vertical="center"/>
    </xf>
    <xf numFmtId="166" fontId="24" fillId="19" borderId="52" xfId="0" applyNumberFormat="1" applyFont="1" applyFill="1" applyBorder="1" applyAlignment="1" applyProtection="1">
      <alignment horizontal="center" vertical="center"/>
    </xf>
    <xf numFmtId="0" fontId="24" fillId="19" borderId="52" xfId="0" applyNumberFormat="1" applyFont="1" applyFill="1" applyBorder="1" applyAlignment="1" applyProtection="1">
      <alignment horizontal="center" vertical="center"/>
    </xf>
    <xf numFmtId="0" fontId="0" fillId="0" borderId="13" xfId="0" applyBorder="1" applyAlignment="1" applyProtection="1">
      <alignment horizontal="right" vertical="center"/>
    </xf>
    <xf numFmtId="0" fontId="24" fillId="19" borderId="56" xfId="0" applyNumberFormat="1" applyFont="1" applyFill="1" applyBorder="1" applyAlignment="1" applyProtection="1">
      <alignment horizontal="center" vertical="center"/>
    </xf>
    <xf numFmtId="166" fontId="24" fillId="19" borderId="29" xfId="0" applyNumberFormat="1" applyFont="1" applyFill="1" applyBorder="1" applyAlignment="1" applyProtection="1">
      <alignment horizontal="center" vertical="center"/>
    </xf>
    <xf numFmtId="166" fontId="6" fillId="19" borderId="29" xfId="0" applyNumberFormat="1" applyFont="1" applyFill="1" applyBorder="1" applyAlignment="1" applyProtection="1">
      <alignment horizontal="center" vertical="center"/>
    </xf>
    <xf numFmtId="0" fontId="24" fillId="19" borderId="29" xfId="0" applyNumberFormat="1" applyFont="1" applyFill="1" applyBorder="1" applyAlignment="1" applyProtection="1">
      <alignment horizontal="center" vertical="center"/>
    </xf>
    <xf numFmtId="0" fontId="6" fillId="19" borderId="29" xfId="0" applyNumberFormat="1" applyFont="1" applyFill="1" applyBorder="1" applyAlignment="1" applyProtection="1">
      <alignment horizontal="center" vertical="center"/>
    </xf>
    <xf numFmtId="0" fontId="24" fillId="19" borderId="57" xfId="0" applyNumberFormat="1" applyFont="1" applyFill="1" applyBorder="1" applyAlignment="1" applyProtection="1">
      <alignment horizontal="center" vertical="center"/>
    </xf>
    <xf numFmtId="166" fontId="0" fillId="0" borderId="13" xfId="0" applyNumberFormat="1" applyBorder="1" applyAlignment="1" applyProtection="1"/>
    <xf numFmtId="2" fontId="0" fillId="0" borderId="13" xfId="0" applyNumberFormat="1" applyBorder="1" applyAlignment="1" applyProtection="1"/>
    <xf numFmtId="166" fontId="0" fillId="0" borderId="13" xfId="0" applyNumberFormat="1" applyBorder="1" applyProtection="1"/>
    <xf numFmtId="0" fontId="10" fillId="29" borderId="58" xfId="0" applyFont="1" applyFill="1" applyBorder="1" applyAlignment="1" applyProtection="1">
      <alignment horizontal="center" vertical="center" wrapText="1"/>
    </xf>
    <xf numFmtId="0" fontId="10" fillId="29" borderId="62" xfId="0" applyFont="1" applyFill="1" applyBorder="1" applyAlignment="1" applyProtection="1">
      <alignment horizontal="center" vertical="center" wrapText="1"/>
    </xf>
    <xf numFmtId="0" fontId="10" fillId="16" borderId="63" xfId="0" applyFont="1" applyFill="1" applyBorder="1" applyAlignment="1" applyProtection="1">
      <alignment horizontal="center" vertical="center" wrapText="1"/>
    </xf>
    <xf numFmtId="167" fontId="12" fillId="0" borderId="75" xfId="0" applyNumberFormat="1" applyFont="1" applyFill="1" applyBorder="1" applyAlignment="1" applyProtection="1">
      <alignment horizontal="center" vertical="center"/>
    </xf>
    <xf numFmtId="164" fontId="12" fillId="0" borderId="76" xfId="0" applyNumberFormat="1" applyFont="1" applyFill="1" applyBorder="1" applyAlignment="1" applyProtection="1">
      <alignment horizontal="center" vertical="center"/>
    </xf>
    <xf numFmtId="164" fontId="12" fillId="0" borderId="81" xfId="0" applyNumberFormat="1" applyFont="1" applyFill="1" applyBorder="1" applyAlignment="1" applyProtection="1">
      <alignment horizontal="center" vertical="center"/>
    </xf>
    <xf numFmtId="167" fontId="12" fillId="0" borderId="82" xfId="0" applyNumberFormat="1" applyFont="1" applyFill="1" applyBorder="1" applyAlignment="1" applyProtection="1">
      <alignment horizontal="center" vertical="center"/>
    </xf>
    <xf numFmtId="0" fontId="9" fillId="8" borderId="83" xfId="0" applyFont="1" applyFill="1" applyBorder="1" applyAlignment="1" applyProtection="1">
      <alignment horizontal="center" vertical="center" wrapText="1"/>
    </xf>
    <xf numFmtId="3" fontId="19" fillId="10" borderId="84" xfId="0" applyNumberFormat="1" applyFont="1" applyFill="1" applyBorder="1" applyAlignment="1" applyProtection="1">
      <alignment horizontal="center" vertical="center" wrapText="1"/>
    </xf>
    <xf numFmtId="1" fontId="7" fillId="13" borderId="54" xfId="0" applyNumberFormat="1" applyFont="1" applyFill="1" applyBorder="1" applyAlignment="1" applyProtection="1">
      <alignment horizontal="center" vertical="center" wrapText="1"/>
    </xf>
    <xf numFmtId="1" fontId="7" fillId="13" borderId="80" xfId="0" applyNumberFormat="1" applyFont="1" applyFill="1" applyBorder="1" applyAlignment="1" applyProtection="1">
      <alignment horizontal="center" vertical="center" wrapText="1"/>
    </xf>
    <xf numFmtId="10" fontId="20" fillId="13" borderId="80" xfId="0" applyNumberFormat="1" applyFont="1" applyFill="1" applyBorder="1" applyAlignment="1" applyProtection="1">
      <alignment horizontal="center" vertical="center" wrapText="1"/>
    </xf>
    <xf numFmtId="0" fontId="10" fillId="16" borderId="85" xfId="0" applyFont="1" applyFill="1" applyBorder="1" applyAlignment="1" applyProtection="1">
      <alignment horizontal="center" vertical="center" wrapText="1"/>
    </xf>
    <xf numFmtId="0" fontId="9" fillId="8" borderId="88" xfId="0" applyFont="1" applyFill="1" applyBorder="1" applyAlignment="1" applyProtection="1">
      <alignment horizontal="center" vertical="center" wrapText="1"/>
    </xf>
    <xf numFmtId="0" fontId="9" fillId="8" borderId="89" xfId="0" applyFont="1" applyFill="1" applyBorder="1" applyAlignment="1" applyProtection="1">
      <alignment horizontal="center" vertical="center" wrapText="1"/>
    </xf>
    <xf numFmtId="3" fontId="19" fillId="10" borderId="90" xfId="0" applyNumberFormat="1" applyFont="1" applyFill="1" applyBorder="1" applyAlignment="1" applyProtection="1">
      <alignment horizontal="center" vertical="center" wrapText="1"/>
    </xf>
    <xf numFmtId="3" fontId="19" fillId="10" borderId="91" xfId="0" applyNumberFormat="1" applyFont="1" applyFill="1" applyBorder="1" applyAlignment="1" applyProtection="1">
      <alignment horizontal="center" vertical="center" wrapText="1"/>
    </xf>
    <xf numFmtId="1" fontId="7" fillId="13" borderId="92" xfId="0" applyNumberFormat="1" applyFont="1" applyFill="1" applyBorder="1" applyAlignment="1" applyProtection="1">
      <alignment horizontal="right" vertical="center" wrapText="1"/>
    </xf>
    <xf numFmtId="1" fontId="7" fillId="13" borderId="93" xfId="0" applyNumberFormat="1" applyFont="1" applyFill="1" applyBorder="1" applyAlignment="1" applyProtection="1">
      <alignment horizontal="center" vertical="center" wrapText="1"/>
    </xf>
    <xf numFmtId="10" fontId="20" fillId="13" borderId="71" xfId="0" applyNumberFormat="1" applyFont="1" applyFill="1" applyBorder="1" applyAlignment="1" applyProtection="1">
      <alignment horizontal="center" vertical="center" wrapText="1"/>
    </xf>
    <xf numFmtId="0" fontId="21" fillId="15" borderId="94" xfId="0" applyFont="1" applyFill="1" applyBorder="1" applyAlignment="1" applyProtection="1">
      <alignment horizontal="center" vertical="center" wrapText="1"/>
    </xf>
    <xf numFmtId="164" fontId="12" fillId="0" borderId="95" xfId="0" applyNumberFormat="1" applyFont="1" applyFill="1" applyBorder="1" applyAlignment="1" applyProtection="1">
      <alignment horizontal="center" vertical="center"/>
    </xf>
    <xf numFmtId="164" fontId="12" fillId="0" borderId="96" xfId="0" applyNumberFormat="1" applyFont="1" applyFill="1" applyBorder="1" applyAlignment="1" applyProtection="1">
      <alignment horizontal="center" vertical="center"/>
    </xf>
    <xf numFmtId="164" fontId="12" fillId="0" borderId="97" xfId="0" applyNumberFormat="1" applyFont="1" applyFill="1" applyBorder="1" applyAlignment="1" applyProtection="1">
      <alignment horizontal="center" vertical="center"/>
    </xf>
    <xf numFmtId="0" fontId="20" fillId="7" borderId="98" xfId="0" applyFont="1" applyFill="1" applyBorder="1" applyAlignment="1" applyProtection="1">
      <alignment horizontal="center" vertical="center" wrapText="1"/>
    </xf>
    <xf numFmtId="3" fontId="12" fillId="0" borderId="49" xfId="0" applyNumberFormat="1" applyFont="1" applyFill="1" applyBorder="1" applyAlignment="1" applyProtection="1">
      <alignment horizontal="center" vertical="center"/>
    </xf>
    <xf numFmtId="3" fontId="12" fillId="0" borderId="31" xfId="0" applyNumberFormat="1" applyFont="1" applyFill="1" applyBorder="1" applyAlignment="1" applyProtection="1">
      <alignment horizontal="center" vertical="center"/>
    </xf>
    <xf numFmtId="3" fontId="23" fillId="0" borderId="31" xfId="0" applyNumberFormat="1" applyFont="1" applyFill="1" applyBorder="1" applyAlignment="1" applyProtection="1">
      <alignment horizontal="center" vertical="center"/>
    </xf>
    <xf numFmtId="3" fontId="23" fillId="0" borderId="99" xfId="0" applyNumberFormat="1" applyFont="1" applyFill="1" applyBorder="1" applyAlignment="1" applyProtection="1">
      <alignment horizontal="center" vertical="center"/>
    </xf>
    <xf numFmtId="3" fontId="23" fillId="0" borderId="76" xfId="0" applyNumberFormat="1" applyFont="1" applyFill="1" applyBorder="1" applyAlignment="1" applyProtection="1">
      <alignment horizontal="center" vertical="center"/>
    </xf>
    <xf numFmtId="3" fontId="12" fillId="0" borderId="76" xfId="0" applyNumberFormat="1" applyFont="1" applyFill="1" applyBorder="1" applyAlignment="1" applyProtection="1">
      <alignment horizontal="center" vertical="center"/>
    </xf>
    <xf numFmtId="3" fontId="23" fillId="0" borderId="100" xfId="0" applyNumberFormat="1" applyFont="1" applyFill="1" applyBorder="1" applyAlignment="1" applyProtection="1">
      <alignment horizontal="center" vertical="center"/>
    </xf>
    <xf numFmtId="0" fontId="8" fillId="11" borderId="101" xfId="0" applyFont="1" applyFill="1" applyBorder="1" applyAlignment="1" applyProtection="1">
      <alignment horizontal="center" vertical="center" wrapText="1"/>
    </xf>
    <xf numFmtId="0" fontId="8" fillId="11" borderId="102" xfId="0" applyFont="1" applyFill="1" applyBorder="1" applyAlignment="1" applyProtection="1">
      <alignment horizontal="center" vertical="center" wrapText="1"/>
    </xf>
    <xf numFmtId="0" fontId="19" fillId="12" borderId="92" xfId="0" applyFont="1" applyFill="1" applyBorder="1" applyAlignment="1" applyProtection="1">
      <alignment horizontal="center" vertical="center" wrapText="1"/>
    </xf>
    <xf numFmtId="0" fontId="19" fillId="12" borderId="103" xfId="0" applyFont="1" applyFill="1" applyBorder="1" applyAlignment="1" applyProtection="1">
      <alignment horizontal="center" vertical="center" wrapText="1"/>
    </xf>
    <xf numFmtId="0" fontId="5" fillId="18" borderId="92" xfId="0" applyFont="1" applyFill="1" applyBorder="1" applyAlignment="1" applyProtection="1">
      <alignment horizontal="right" vertical="center" wrapText="1"/>
    </xf>
    <xf numFmtId="0" fontId="17" fillId="18" borderId="54" xfId="0" applyFont="1" applyFill="1" applyBorder="1" applyAlignment="1" applyProtection="1">
      <alignment horizontal="right" vertical="center" wrapText="1"/>
    </xf>
    <xf numFmtId="0" fontId="5" fillId="18" borderId="93" xfId="0" applyFont="1" applyFill="1" applyBorder="1" applyAlignment="1" applyProtection="1">
      <alignment horizontal="right" vertical="center" wrapText="1"/>
    </xf>
    <xf numFmtId="0" fontId="17" fillId="18" borderId="80" xfId="0" applyFont="1" applyFill="1" applyBorder="1" applyAlignment="1" applyProtection="1">
      <alignment horizontal="right" vertical="center" wrapText="1"/>
    </xf>
    <xf numFmtId="0" fontId="23" fillId="0" borderId="99" xfId="0" applyNumberFormat="1" applyFont="1" applyFill="1" applyBorder="1" applyAlignment="1" applyProtection="1">
      <alignment horizontal="center" vertical="center"/>
    </xf>
    <xf numFmtId="0" fontId="23" fillId="0" borderId="76" xfId="0" applyNumberFormat="1" applyFont="1" applyFill="1" applyBorder="1" applyAlignment="1" applyProtection="1">
      <alignment horizontal="center" vertical="center"/>
    </xf>
    <xf numFmtId="0" fontId="12" fillId="0" borderId="76" xfId="0" applyNumberFormat="1" applyFont="1" applyFill="1" applyBorder="1" applyAlignment="1" applyProtection="1">
      <alignment horizontal="center" vertical="center"/>
    </xf>
    <xf numFmtId="10" fontId="19" fillId="12" borderId="54" xfId="0" applyNumberFormat="1" applyFont="1" applyFill="1" applyBorder="1" applyAlignment="1" applyProtection="1">
      <alignment horizontal="center" vertical="center" wrapText="1"/>
    </xf>
    <xf numFmtId="164" fontId="19" fillId="12" borderId="54" xfId="0" applyNumberFormat="1" applyFont="1" applyFill="1" applyBorder="1" applyAlignment="1" applyProtection="1">
      <alignment horizontal="center" vertical="center" wrapText="1"/>
    </xf>
    <xf numFmtId="0" fontId="5" fillId="18" borderId="54" xfId="0" applyFont="1" applyFill="1" applyBorder="1" applyAlignment="1" applyProtection="1">
      <alignment horizontal="right" vertical="center" wrapText="1"/>
    </xf>
    <xf numFmtId="0" fontId="5" fillId="18" borderId="80" xfId="0" applyFont="1" applyFill="1" applyBorder="1" applyAlignment="1" applyProtection="1">
      <alignment horizontal="right" vertical="center" wrapText="1"/>
    </xf>
    <xf numFmtId="166" fontId="6" fillId="19" borderId="72" xfId="0" applyNumberFormat="1" applyFont="1" applyFill="1" applyBorder="1" applyAlignment="1" applyProtection="1">
      <alignment horizontal="center" vertical="center"/>
    </xf>
    <xf numFmtId="166" fontId="24" fillId="19" borderId="72" xfId="0" applyNumberFormat="1" applyFont="1" applyFill="1" applyBorder="1" applyAlignment="1" applyProtection="1">
      <alignment horizontal="center" vertical="center"/>
    </xf>
    <xf numFmtId="166" fontId="24" fillId="19" borderId="28" xfId="0" applyNumberFormat="1" applyFont="1" applyFill="1" applyBorder="1" applyAlignment="1" applyProtection="1">
      <alignment horizontal="center" vertical="center"/>
    </xf>
    <xf numFmtId="10" fontId="12" fillId="0" borderId="76" xfId="0" applyNumberFormat="1" applyFont="1" applyFill="1" applyBorder="1" applyAlignment="1" applyProtection="1">
      <alignment horizontal="center" vertical="center"/>
    </xf>
    <xf numFmtId="10" fontId="23" fillId="0" borderId="76" xfId="0" applyNumberFormat="1" applyFont="1" applyFill="1" applyBorder="1" applyAlignment="1" applyProtection="1">
      <alignment horizontal="center" vertical="center"/>
    </xf>
    <xf numFmtId="164" fontId="23" fillId="0" borderId="76" xfId="0" applyNumberFormat="1" applyFont="1" applyFill="1" applyBorder="1" applyAlignment="1" applyProtection="1">
      <alignment horizontal="center" vertical="center"/>
    </xf>
    <xf numFmtId="0" fontId="18" fillId="22" borderId="104" xfId="0" applyFont="1" applyFill="1" applyBorder="1" applyAlignment="1" applyProtection="1">
      <alignment horizontal="left" vertical="center" wrapText="1" indent="1"/>
    </xf>
    <xf numFmtId="0" fontId="13" fillId="6" borderId="108" xfId="0" applyFont="1" applyFill="1" applyBorder="1" applyAlignment="1" applyProtection="1">
      <alignment horizontal="left" vertical="center" wrapText="1"/>
    </xf>
    <xf numFmtId="164" fontId="11" fillId="31" borderId="109" xfId="0" applyNumberFormat="1" applyFont="1" applyFill="1" applyBorder="1" applyAlignment="1" applyProtection="1">
      <alignment horizontal="center" vertical="center"/>
      <protection locked="0"/>
    </xf>
    <xf numFmtId="0" fontId="13" fillId="0" borderId="111" xfId="0" applyFont="1" applyBorder="1" applyAlignment="1" applyProtection="1">
      <alignment vertical="center" wrapText="1"/>
    </xf>
    <xf numFmtId="0" fontId="13" fillId="0" borderId="112" xfId="0" applyFont="1" applyBorder="1" applyAlignment="1" applyProtection="1">
      <alignment horizontal="left" vertical="center" wrapText="1"/>
    </xf>
    <xf numFmtId="1" fontId="12" fillId="0" borderId="74" xfId="0" applyNumberFormat="1" applyFont="1" applyFill="1" applyBorder="1" applyAlignment="1" applyProtection="1">
      <alignment horizontal="center" vertical="center"/>
      <protection locked="0"/>
    </xf>
    <xf numFmtId="0" fontId="18" fillId="22" borderId="113" xfId="0" applyFont="1" applyFill="1" applyBorder="1" applyAlignment="1" applyProtection="1">
      <alignment horizontal="left" vertical="center" wrapText="1" indent="1"/>
    </xf>
    <xf numFmtId="0" fontId="18" fillId="28" borderId="114" xfId="0" applyFont="1" applyFill="1" applyBorder="1" applyAlignment="1" applyProtection="1">
      <alignment horizontal="center" vertical="center"/>
    </xf>
    <xf numFmtId="0" fontId="8" fillId="11" borderId="115" xfId="0" applyFont="1" applyFill="1" applyBorder="1" applyAlignment="1" applyProtection="1">
      <alignment horizontal="center" vertical="center" wrapText="1"/>
    </xf>
    <xf numFmtId="164" fontId="19" fillId="12" borderId="116" xfId="0" applyNumberFormat="1" applyFont="1" applyFill="1" applyBorder="1" applyAlignment="1" applyProtection="1">
      <alignment horizontal="center" vertical="center" wrapText="1"/>
    </xf>
    <xf numFmtId="164" fontId="17" fillId="18" borderId="116" xfId="0" applyNumberFormat="1" applyFont="1" applyFill="1" applyBorder="1" applyAlignment="1" applyProtection="1">
      <alignment horizontal="right" vertical="center" wrapText="1"/>
    </xf>
    <xf numFmtId="164" fontId="17" fillId="18" borderId="117" xfId="0" applyNumberFormat="1" applyFont="1" applyFill="1" applyBorder="1" applyAlignment="1" applyProtection="1">
      <alignment horizontal="right" vertical="center" wrapText="1"/>
    </xf>
    <xf numFmtId="0" fontId="8" fillId="11" borderId="118" xfId="0" applyFont="1" applyFill="1" applyBorder="1" applyAlignment="1" applyProtection="1">
      <alignment horizontal="center" vertical="center" wrapText="1"/>
    </xf>
    <xf numFmtId="10" fontId="19" fillId="12" borderId="53" xfId="0" applyNumberFormat="1" applyFont="1" applyFill="1" applyBorder="1" applyAlignment="1" applyProtection="1">
      <alignment horizontal="center" vertical="center" wrapText="1"/>
    </xf>
    <xf numFmtId="0" fontId="17" fillId="18" borderId="53" xfId="0" applyFont="1" applyFill="1" applyBorder="1" applyAlignment="1" applyProtection="1">
      <alignment horizontal="right" vertical="center" wrapText="1"/>
    </xf>
    <xf numFmtId="0" fontId="17" fillId="18" borderId="119" xfId="0" applyFont="1" applyFill="1" applyBorder="1" applyAlignment="1" applyProtection="1">
      <alignment horizontal="right" vertical="center" wrapText="1"/>
    </xf>
    <xf numFmtId="0" fontId="8" fillId="11" borderId="120" xfId="0" applyFont="1" applyFill="1" applyBorder="1" applyAlignment="1" applyProtection="1">
      <alignment horizontal="center" vertical="center" wrapText="1"/>
    </xf>
    <xf numFmtId="0" fontId="19" fillId="12" borderId="121" xfId="0" applyFont="1" applyFill="1" applyBorder="1" applyAlignment="1" applyProtection="1">
      <alignment horizontal="center" vertical="center" wrapText="1"/>
    </xf>
    <xf numFmtId="0" fontId="17" fillId="18" borderId="78" xfId="0" applyFont="1" applyFill="1" applyBorder="1" applyAlignment="1" applyProtection="1">
      <alignment horizontal="right" vertical="center" wrapText="1"/>
    </xf>
    <xf numFmtId="0" fontId="17" fillId="18" borderId="79" xfId="0" applyFont="1" applyFill="1" applyBorder="1" applyAlignment="1" applyProtection="1">
      <alignment horizontal="right" vertical="center" wrapText="1"/>
    </xf>
    <xf numFmtId="10" fontId="23" fillId="0" borderId="122" xfId="0" applyNumberFormat="1" applyFont="1" applyFill="1" applyBorder="1" applyAlignment="1" applyProtection="1">
      <alignment horizontal="center" vertical="center"/>
    </xf>
    <xf numFmtId="0" fontId="8" fillId="9" borderId="123" xfId="0" applyFont="1" applyFill="1" applyBorder="1" applyAlignment="1" applyProtection="1">
      <alignment horizontal="center" vertical="center" wrapText="1"/>
    </xf>
    <xf numFmtId="0" fontId="12" fillId="0" borderId="73" xfId="0" applyNumberFormat="1" applyFont="1" applyFill="1" applyBorder="1" applyAlignment="1" applyProtection="1">
      <alignment horizontal="center" vertical="center"/>
    </xf>
    <xf numFmtId="0" fontId="12" fillId="0" borderId="74" xfId="0" applyNumberFormat="1" applyFont="1" applyFill="1" applyBorder="1" applyAlignment="1" applyProtection="1">
      <alignment horizontal="center" vertical="center"/>
    </xf>
    <xf numFmtId="0" fontId="23" fillId="0" borderId="74" xfId="0" applyNumberFormat="1" applyFont="1" applyFill="1" applyBorder="1" applyAlignment="1" applyProtection="1">
      <alignment horizontal="center" vertical="center"/>
    </xf>
    <xf numFmtId="0" fontId="23" fillId="0" borderId="77" xfId="0" applyNumberFormat="1" applyFont="1" applyFill="1" applyBorder="1" applyAlignment="1" applyProtection="1">
      <alignment horizontal="center" vertical="center"/>
    </xf>
    <xf numFmtId="0" fontId="0" fillId="27" borderId="124" xfId="0" applyFill="1" applyBorder="1" applyProtection="1"/>
    <xf numFmtId="0" fontId="0" fillId="27" borderId="124" xfId="0" applyFill="1" applyBorder="1" applyAlignment="1" applyProtection="1">
      <alignment horizontal="right" vertical="center"/>
    </xf>
    <xf numFmtId="164" fontId="0" fillId="27" borderId="124" xfId="0" applyNumberFormat="1" applyFont="1" applyFill="1" applyBorder="1" applyAlignment="1" applyProtection="1">
      <alignment vertical="center"/>
    </xf>
    <xf numFmtId="164" fontId="0" fillId="27" borderId="124" xfId="0" applyNumberFormat="1" applyFill="1" applyBorder="1" applyAlignment="1" applyProtection="1">
      <alignment vertical="center"/>
    </xf>
    <xf numFmtId="166" fontId="0" fillId="27" borderId="124" xfId="0" applyNumberFormat="1" applyFill="1" applyBorder="1" applyProtection="1"/>
    <xf numFmtId="10" fontId="39" fillId="13" borderId="54" xfId="0" applyNumberFormat="1" applyFont="1" applyFill="1" applyBorder="1" applyAlignment="1" applyProtection="1">
      <alignment horizontal="center" vertical="center" wrapText="1"/>
    </xf>
    <xf numFmtId="1" fontId="39" fillId="13" borderId="54" xfId="0" applyNumberFormat="1" applyFont="1" applyFill="1" applyBorder="1" applyAlignment="1" applyProtection="1">
      <alignment horizontal="center" vertical="center" wrapText="1"/>
    </xf>
    <xf numFmtId="1" fontId="39" fillId="13" borderId="6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3" borderId="128" xfId="0" applyNumberFormat="1" applyFont="1" applyFill="1" applyBorder="1" applyAlignment="1">
      <alignment horizontal="center" vertical="center"/>
    </xf>
    <xf numFmtId="165" fontId="0" fillId="25" borderId="16" xfId="0" applyNumberFormat="1" applyFont="1" applyFill="1" applyBorder="1" applyAlignment="1">
      <alignment horizontal="center" vertical="center"/>
    </xf>
    <xf numFmtId="165" fontId="0" fillId="2" borderId="125" xfId="0" applyNumberFormat="1" applyFont="1" applyFill="1" applyBorder="1" applyAlignment="1">
      <alignment horizontal="center" vertical="center"/>
    </xf>
    <xf numFmtId="165" fontId="0" fillId="2" borderId="126" xfId="0" applyNumberFormat="1" applyFont="1" applyFill="1" applyBorder="1" applyAlignment="1">
      <alignment horizontal="center" vertical="center"/>
    </xf>
    <xf numFmtId="165" fontId="0" fillId="3" borderId="129" xfId="0" applyNumberFormat="1" applyFont="1" applyFill="1" applyBorder="1" applyAlignment="1">
      <alignment horizontal="center" vertical="center"/>
    </xf>
    <xf numFmtId="165" fontId="0" fillId="2" borderId="12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164" fontId="12" fillId="0" borderId="74" xfId="0" applyNumberFormat="1" applyFont="1" applyFill="1" applyBorder="1" applyAlignment="1" applyProtection="1">
      <alignment horizontal="center" vertical="center"/>
    </xf>
    <xf numFmtId="10" fontId="12" fillId="0" borderId="31" xfId="0" applyNumberFormat="1" applyFont="1" applyFill="1" applyBorder="1" applyAlignment="1" applyProtection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0" fontId="0" fillId="0" borderId="130" xfId="0" applyFont="1" applyFill="1" applyBorder="1" applyAlignment="1">
      <alignment horizontal="left" vertical="center"/>
    </xf>
    <xf numFmtId="167" fontId="23" fillId="0" borderId="32" xfId="0" applyNumberFormat="1" applyFont="1" applyFill="1" applyBorder="1" applyAlignment="1" applyProtection="1">
      <alignment horizontal="center" vertical="center"/>
    </xf>
    <xf numFmtId="164" fontId="23" fillId="0" borderId="35" xfId="0" applyNumberFormat="1" applyFont="1" applyFill="1" applyBorder="1" applyAlignment="1" applyProtection="1">
      <alignment horizontal="center" vertical="center"/>
    </xf>
    <xf numFmtId="167" fontId="23" fillId="0" borderId="36" xfId="0" applyNumberFormat="1" applyFont="1" applyFill="1" applyBorder="1" applyAlignment="1" applyProtection="1">
      <alignment horizontal="center" vertical="center"/>
    </xf>
    <xf numFmtId="164" fontId="23" fillId="0" borderId="74" xfId="0" applyNumberFormat="1" applyFont="1" applyFill="1" applyBorder="1" applyAlignment="1" applyProtection="1">
      <alignment horizontal="center" vertical="center"/>
    </xf>
    <xf numFmtId="10" fontId="23" fillId="0" borderId="31" xfId="0" applyNumberFormat="1" applyFont="1" applyFill="1" applyBorder="1" applyAlignment="1" applyProtection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165" fontId="0" fillId="25" borderId="126" xfId="0" applyNumberFormat="1" applyFont="1" applyFill="1" applyBorder="1" applyAlignment="1">
      <alignment horizontal="center" vertical="center"/>
    </xf>
    <xf numFmtId="165" fontId="35" fillId="25" borderId="16" xfId="0" applyNumberFormat="1" applyFon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 vertical="center"/>
    </xf>
    <xf numFmtId="2" fontId="0" fillId="0" borderId="9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0" fontId="22" fillId="0" borderId="33" xfId="0" applyFont="1" applyFill="1" applyBorder="1" applyAlignment="1" applyProtection="1">
      <alignment horizontal="left" vertical="center" wrapText="1"/>
    </xf>
    <xf numFmtId="0" fontId="34" fillId="0" borderId="33" xfId="0" applyFont="1" applyFill="1" applyBorder="1" applyAlignment="1" applyProtection="1">
      <alignment horizontal="left" vertical="center" wrapText="1"/>
    </xf>
    <xf numFmtId="0" fontId="22" fillId="0" borderId="110" xfId="0" applyFont="1" applyFill="1" applyBorder="1" applyAlignment="1" applyProtection="1">
      <alignment horizontal="left" vertical="center" wrapText="1"/>
    </xf>
    <xf numFmtId="1" fontId="12" fillId="0" borderId="132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0" fontId="6" fillId="0" borderId="130" xfId="0" applyFont="1" applyFill="1" applyBorder="1" applyAlignment="1">
      <alignment horizontal="left" vertical="center"/>
    </xf>
    <xf numFmtId="1" fontId="23" fillId="0" borderId="74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0" fontId="28" fillId="22" borderId="13" xfId="0" applyFont="1" applyFill="1" applyBorder="1" applyAlignment="1" applyProtection="1">
      <alignment vertical="center" wrapText="1"/>
    </xf>
    <xf numFmtId="0" fontId="28" fillId="0" borderId="13" xfId="0" applyFont="1" applyBorder="1" applyAlignment="1" applyProtection="1">
      <alignment vertical="center" wrapText="1"/>
    </xf>
    <xf numFmtId="0" fontId="28" fillId="0" borderId="1" xfId="0" applyFont="1" applyBorder="1" applyAlignment="1" applyProtection="1">
      <alignment vertical="center" wrapText="1"/>
    </xf>
    <xf numFmtId="0" fontId="0" fillId="5" borderId="0" xfId="0" applyFill="1" applyBorder="1" applyAlignment="1" applyProtection="1"/>
    <xf numFmtId="0" fontId="1" fillId="27" borderId="0" xfId="0" applyFont="1" applyFill="1" applyBorder="1" applyAlignment="1" applyProtection="1"/>
    <xf numFmtId="0" fontId="0" fillId="27" borderId="0" xfId="0" applyFill="1" applyBorder="1" applyAlignment="1" applyProtection="1"/>
    <xf numFmtId="0" fontId="31" fillId="26" borderId="0" xfId="0" applyFont="1" applyFill="1" applyBorder="1" applyAlignment="1" applyProtection="1">
      <alignment vertical="center" wrapText="1"/>
    </xf>
    <xf numFmtId="0" fontId="36" fillId="26" borderId="0" xfId="0" applyFont="1" applyFill="1" applyBorder="1" applyAlignment="1" applyProtection="1">
      <alignment horizontal="left" vertical="top" wrapText="1" indent="12"/>
    </xf>
    <xf numFmtId="0" fontId="0" fillId="26" borderId="0" xfId="0" applyFill="1" applyAlignment="1" applyProtection="1">
      <alignment horizontal="left" vertical="top" indent="12"/>
    </xf>
    <xf numFmtId="0" fontId="28" fillId="22" borderId="1" xfId="0" applyFont="1" applyFill="1" applyBorder="1" applyAlignment="1" applyProtection="1">
      <alignment vertical="center"/>
    </xf>
    <xf numFmtId="0" fontId="28" fillId="22" borderId="2" xfId="0" applyFont="1" applyFill="1" applyBorder="1" applyAlignment="1" applyProtection="1">
      <alignment vertical="center"/>
    </xf>
    <xf numFmtId="0" fontId="0" fillId="0" borderId="12" xfId="0" applyBorder="1" applyAlignment="1" applyProtection="1">
      <alignment vertical="center"/>
    </xf>
    <xf numFmtId="0" fontId="13" fillId="4" borderId="33" xfId="0" applyFont="1" applyFill="1" applyBorder="1" applyAlignment="1" applyProtection="1">
      <alignment horizontal="left" vertical="center" wrapText="1"/>
    </xf>
    <xf numFmtId="0" fontId="0" fillId="4" borderId="110" xfId="0" applyFill="1" applyBorder="1" applyAlignment="1" applyProtection="1">
      <alignment horizontal="left" vertical="center" wrapText="1"/>
    </xf>
    <xf numFmtId="4" fontId="11" fillId="17" borderId="74" xfId="0" applyNumberFormat="1" applyFont="1" applyFill="1" applyBorder="1" applyAlignment="1" applyProtection="1">
      <alignment horizontal="center" vertical="center"/>
      <protection locked="0"/>
    </xf>
    <xf numFmtId="0" fontId="0" fillId="24" borderId="77" xfId="0" applyFill="1" applyBorder="1" applyAlignment="1" applyProtection="1">
      <alignment horizontal="center" vertical="center"/>
      <protection locked="0"/>
    </xf>
    <xf numFmtId="0" fontId="38" fillId="26" borderId="0" xfId="0" applyFont="1" applyFill="1" applyBorder="1" applyAlignment="1" applyProtection="1">
      <alignment horizontal="center"/>
    </xf>
    <xf numFmtId="0" fontId="38" fillId="0" borderId="0" xfId="0" applyFont="1" applyBorder="1" applyAlignment="1" applyProtection="1">
      <alignment horizontal="center"/>
    </xf>
    <xf numFmtId="0" fontId="18" fillId="22" borderId="105" xfId="0" applyFont="1" applyFill="1" applyBorder="1" applyAlignment="1" applyProtection="1">
      <alignment horizontal="left" vertical="center" wrapText="1" indent="1"/>
    </xf>
    <xf numFmtId="0" fontId="0" fillId="0" borderId="106" xfId="0" applyBorder="1" applyAlignment="1" applyProtection="1">
      <alignment horizontal="left" vertical="center" wrapText="1" indent="1"/>
    </xf>
    <xf numFmtId="0" fontId="0" fillId="0" borderId="107" xfId="0" applyBorder="1" applyAlignment="1" applyProtection="1">
      <alignment horizontal="left" vertical="center" wrapText="1" indent="1"/>
    </xf>
    <xf numFmtId="167" fontId="19" fillId="30" borderId="59" xfId="0" applyNumberFormat="1" applyFont="1" applyFill="1" applyBorder="1" applyAlignment="1" applyProtection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164" fontId="19" fillId="30" borderId="64" xfId="0" applyNumberFormat="1" applyFont="1" applyFill="1" applyBorder="1" applyAlignment="1" applyProtection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167" fontId="19" fillId="14" borderId="65" xfId="0" applyNumberFormat="1" applyFont="1" applyFill="1" applyBorder="1" applyAlignment="1" applyProtection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164" fontId="19" fillId="14" borderId="86" xfId="0" applyNumberFormat="1" applyFont="1" applyFill="1" applyBorder="1" applyAlignment="1" applyProtection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27" fillId="22" borderId="0" xfId="0" applyFont="1" applyFill="1" applyAlignment="1">
      <alignment horizontal="center"/>
    </xf>
    <xf numFmtId="0" fontId="0" fillId="0" borderId="0" xfId="0" applyAlignment="1"/>
    <xf numFmtId="0" fontId="0" fillId="32" borderId="131" xfId="0" applyFont="1" applyFill="1" applyBorder="1" applyAlignment="1">
      <alignment horizontal="left" vertical="center" wrapText="1"/>
    </xf>
    <xf numFmtId="0" fontId="0" fillId="0" borderId="13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8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33C0C"/>
      </font>
      <fill>
        <patternFill>
          <bgColor theme="5" tint="0.59996337778862885"/>
        </patternFill>
      </fill>
    </dxf>
    <dxf>
      <font>
        <color rgb="FF833C0C"/>
      </font>
      <fill>
        <patternFill>
          <bgColor theme="5" tint="0.79998168889431442"/>
        </patternFill>
      </fill>
    </dxf>
    <dxf>
      <font>
        <color rgb="FF73350B"/>
      </font>
      <fill>
        <patternFill>
          <bgColor rgb="FFFFEEA7"/>
        </patternFill>
      </fill>
    </dxf>
    <dxf>
      <font>
        <color rgb="FF644A00"/>
      </font>
      <fill>
        <patternFill>
          <bgColor rgb="FFFFF5C8"/>
        </patternFill>
      </fill>
    </dxf>
    <dxf>
      <font>
        <color rgb="FF375623"/>
      </font>
      <fill>
        <patternFill>
          <bgColor theme="9" tint="0.59996337778862885"/>
        </patternFill>
      </fill>
    </dxf>
    <dxf>
      <font>
        <color rgb="FF375623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rgb="FFDAF4C8"/>
        </patternFill>
      </fill>
    </dxf>
    <dxf>
      <font>
        <color theme="9" tint="-0.499984740745262"/>
      </font>
      <fill>
        <patternFill>
          <bgColor rgb="FFF6FFE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B4C6E7"/>
        </patternFill>
      </fill>
    </dxf>
    <dxf>
      <fill>
        <patternFill>
          <bgColor rgb="FFD9E1F2"/>
        </patternFill>
      </fill>
    </dxf>
    <dxf>
      <font>
        <b val="0"/>
      </font>
      <numFmt numFmtId="165" formatCode="0.0%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/>
        <top style="thin">
          <color theme="0"/>
        </top>
        <bottom style="thin">
          <color theme="0"/>
        </bottom>
        <vertical style="thin">
          <color theme="8" tint="-0.24994659260841701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fill>
        <patternFill patternType="solid">
          <fgColor indexed="64"/>
          <bgColor theme="7" tint="0.599963377788628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</font>
      <numFmt numFmtId="165" formatCode="0.0%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theme="8" tint="-0.24994659260841701"/>
        </right>
        <top style="thin">
          <color theme="0"/>
        </top>
        <bottom style="thin">
          <color theme="0"/>
        </bottom>
        <vertical style="thin">
          <color theme="8" tint="-0.24994659260841701"/>
        </vertical>
        <horizontal style="thin">
          <color theme="0"/>
        </horizontal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 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font>
        <b val="0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8" tint="-0.24994659260841701"/>
        </top>
        <bottom style="thin">
          <color theme="8" tint="-0.2499465926084170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theme="8" tint="-0.2499465926084170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8" tint="-0.24994659260841701"/>
        </left>
        <right style="thin">
          <color theme="8" tint="-0.24994659260841701"/>
        </right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theme="2" tint="-0.749961851863155"/>
        </top>
        <bottom style="thin">
          <color theme="2" tint="-0.749961851863155"/>
        </bottom>
        <vertical/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89996032593768116"/>
        </right>
        <top style="thin">
          <color theme="2" tint="-0.749961851863155"/>
        </top>
        <bottom style="thin">
          <color theme="2" tint="-0.749961851863155"/>
        </bottom>
        <vertical/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89996032593768116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7" formatCode="#,##0.0\ &quot;Hrs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double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double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double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7" formatCode="#,##0.0\ &quot;Hrs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9" tint="0.39994506668294322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" formatCode="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89996032593768116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rgb="FF17284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theme="4" tint="0.39994506668294322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border diagonalUp="0" diagonalDown="0">
        <left/>
        <right/>
        <top/>
        <bottom/>
      </border>
    </dxf>
    <dxf>
      <protection locked="1" hidden="0"/>
    </dxf>
    <dxf>
      <border>
        <bottom style="thin">
          <color rgb="FF2037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0.79998168889431442"/>
        <name val="Calibri"/>
        <scheme val="minor"/>
      </font>
      <alignment horizontal="general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684D00"/>
      <color rgb="FFB4C6E7"/>
      <color rgb="FFD9E1F2"/>
      <color rgb="FFB3CDE4"/>
      <color rgb="FFC7E1F8"/>
      <color rgb="FF80A6EC"/>
      <color rgb="FF5888D8"/>
      <color rgb="FFA2C3EB"/>
      <color rgb="FFB6D7FF"/>
      <color rgb="FF80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Total Automated Checks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0279751616413"/>
          <c:y val="0.1859021131964067"/>
          <c:w val="0.83799851077665355"/>
          <c:h val="0.7794312274160152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CF7-4954-972C-1BA4F185885C}"/>
              </c:ext>
            </c:extLst>
          </c:dPt>
          <c:dPt>
            <c:idx val="1"/>
            <c:invertIfNegative val="0"/>
            <c:bubble3D val="0"/>
            <c:spPr>
              <a:solidFill>
                <a:srgbClr val="F2E38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4CF7-4954-972C-1BA4F185885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CF7-4954-972C-1BA4F185885C}"/>
              </c:ext>
            </c:extLst>
          </c:dPt>
          <c:dPt>
            <c:idx val="3"/>
            <c:invertIfNegative val="0"/>
            <c:bubble3D val="0"/>
            <c:spPr>
              <a:solidFill>
                <a:srgbClr val="38B6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3C-439D-8903-BA0135B830FD}"/>
              </c:ext>
            </c:extLst>
          </c:dPt>
          <c:cat>
            <c:strRef>
              <c:f>Charts!$CJ$4:$CJ$7</c:f>
              <c:strCache>
                <c:ptCount val="4"/>
                <c:pt idx="0">
                  <c:v>Total Checks</c:v>
                </c:pt>
                <c:pt idx="1">
                  <c:v>DISA SCAP</c:v>
                </c:pt>
                <c:pt idx="2">
                  <c:v>NIWC SCAP</c:v>
                </c:pt>
                <c:pt idx="3">
                  <c:v>Evaluate-STIG</c:v>
                </c:pt>
              </c:strCache>
            </c:strRef>
          </c:cat>
          <c:val>
            <c:numRef>
              <c:f>Charts!$CL$4:$CL$7</c:f>
              <c:numCache>
                <c:formatCode>#,##0</c:formatCode>
                <c:ptCount val="4"/>
                <c:pt idx="0">
                  <c:v>1540144</c:v>
                </c:pt>
                <c:pt idx="1">
                  <c:v>1266612</c:v>
                </c:pt>
                <c:pt idx="2">
                  <c:v>1355721</c:v>
                </c:pt>
                <c:pt idx="3">
                  <c:v>1506503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CF7-4954-972C-1BA4F185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barChart>
        <c:barDir val="bar"/>
        <c:grouping val="clustered"/>
        <c:varyColors val="0"/>
        <c:ser>
          <c:idx val="1"/>
          <c:order val="1"/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67EF-42A8-BB73-9CAEC6FAD523}"/>
                </c:ext>
              </c:extLst>
            </c:dLbl>
            <c:dLbl>
              <c:idx val="1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67EF-42A8-BB73-9CAEC6FAD523}"/>
                </c:ext>
              </c:extLst>
            </c:dLbl>
            <c:dLbl>
              <c:idx val="2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67EF-42A8-BB73-9CAEC6FAD523}"/>
                </c:ext>
              </c:extLst>
            </c:dLbl>
            <c:dLbl>
              <c:idx val="3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67EF-42A8-BB73-9CAEC6FAD523}"/>
                </c:ext>
              </c:extLst>
            </c:dLbl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Charts!$CN$4:$CN$7</c:f>
              <c:strCache>
                <c:ptCount val="4"/>
                <c:pt idx="0">
                  <c:v>1,540,144</c:v>
                </c:pt>
                <c:pt idx="1">
                  <c:v>1,266,612
 (82.2%)</c:v>
                </c:pt>
                <c:pt idx="2">
                  <c:v>1,355,721
 (88.0%)</c:v>
                </c:pt>
                <c:pt idx="3">
                  <c:v>1,506,503
 (97.8%)</c:v>
                </c:pt>
              </c:strCache>
            </c:strRef>
          </c:cat>
          <c:val>
            <c:numRef>
              <c:f>Charts!$CL$4:$CL$7</c:f>
              <c:numCache>
                <c:formatCode>#,##0</c:formatCode>
                <c:ptCount val="4"/>
                <c:pt idx="0">
                  <c:v>1540144</c:v>
                </c:pt>
                <c:pt idx="1">
                  <c:v>1266612</c:v>
                </c:pt>
                <c:pt idx="2">
                  <c:v>1355721</c:v>
                </c:pt>
                <c:pt idx="3">
                  <c:v>1506503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CF7-4954-972C-1BA4F185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912552"/>
        <c:axId val="441911240"/>
      </c:barChart>
      <c:catAx>
        <c:axId val="326193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AUTOMATED CHECKS</a:t>
                </a:r>
                <a:r>
                  <a:rPr lang="en-US" baseline="0"/>
                  <a:t> BY TOOL COMPARED TO TOTAL stig checks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valAx>
        <c:axId val="441911240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441912552"/>
        <c:crosses val="autoZero"/>
        <c:crossBetween val="between"/>
      </c:valAx>
      <c:catAx>
        <c:axId val="441912552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4419112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Total</a:t>
            </a:r>
            <a:r>
              <a:rPr lang="en-US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Work Days to Complete STIG Review</a:t>
            </a:r>
          </a:p>
          <a:p>
            <a:pPr>
              <a:defRPr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defRPr>
            </a:pP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Lower is Better</a:t>
            </a:r>
            <a:endParaRPr lang="en-US" sz="800" b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1-43E4-A701-E5CA2B2B452F}"/>
              </c:ext>
            </c:extLst>
          </c:dPt>
          <c:dPt>
            <c:idx val="1"/>
            <c:invertIfNegative val="0"/>
            <c:bubble3D val="0"/>
            <c:spPr>
              <a:solidFill>
                <a:srgbClr val="F2E38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1-43E4-A701-E5CA2B2B45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1-43E4-A701-E5CA2B2B452F}"/>
              </c:ext>
            </c:extLst>
          </c:dPt>
          <c:dPt>
            <c:idx val="3"/>
            <c:invertIfNegative val="0"/>
            <c:bubble3D val="0"/>
            <c:spPr>
              <a:solidFill>
                <a:srgbClr val="38B6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2B-458E-B440-44A168D56557}"/>
              </c:ext>
            </c:extLst>
          </c:dPt>
          <c:dLbls>
            <c:dLbl>
              <c:idx val="0"/>
              <c:numFmt formatCode="#.00\ &quot;days&quot;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8E1-43E4-A701-E5CA2B2B452F}"/>
                </c:ext>
              </c:extLst>
            </c:dLbl>
            <c:dLbl>
              <c:idx val="1"/>
              <c:numFmt formatCode="#.00\ &quot;days&quot;" sourceLinked="0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8E1-43E4-A701-E5CA2B2B452F}"/>
                </c:ext>
              </c:extLst>
            </c:dLbl>
            <c:dLbl>
              <c:idx val="2"/>
              <c:numFmt formatCode="#.00\ &quot;days&quot;" sourceLinked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8E1-43E4-A701-E5CA2B2B452F}"/>
                </c:ext>
              </c:extLst>
            </c:dLbl>
            <c:dLbl>
              <c:idx val="3"/>
              <c:numFmt formatCode="#.00\ &quot;days&quot;" sourceLinked="0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A12B-458E-B440-44A168D56557}"/>
                </c:ext>
              </c:extLst>
            </c:dLbl>
            <c:numFmt formatCode="#.00\ &quot;days&quot;" sourceLinked="0"/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Manual Review</c:v>
              </c:pt>
              <c:pt idx="1">
                <c:v>DISA SCAP</c:v>
              </c:pt>
              <c:pt idx="2">
                <c:v>NIWC SCAP</c:v>
              </c:pt>
              <c:pt idx="3">
                <c:v>Evaluate-STIG</c:v>
              </c:pt>
            </c:strLit>
          </c:cat>
          <c:val>
            <c:numRef>
              <c:f>Calculator!$AC$119:$AF$119</c:f>
              <c:numCache>
                <c:formatCode>0.00</c:formatCode>
                <c:ptCount val="4"/>
                <c:pt idx="0">
                  <c:v>14438.849999999997</c:v>
                </c:pt>
                <c:pt idx="1">
                  <c:v>2564.3624999999993</c:v>
                </c:pt>
                <c:pt idx="2">
                  <c:v>1728.9656249999996</c:v>
                </c:pt>
                <c:pt idx="3">
                  <c:v>315.38437500000003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3E4-A701-E5CA2B2B4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(8</a:t>
                </a:r>
                <a:r>
                  <a:rPr lang="en-US" baseline="0"/>
                  <a:t> </a:t>
                </a:r>
                <a:r>
                  <a:rPr lang="en-US"/>
                  <a:t>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Annual Cost to Complete</a:t>
            </a:r>
            <a:b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</a:br>
            <a:r>
              <a:rPr lang="en-US" sz="800" b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</a:t>
            </a: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Assumes Quartely Reviews | </a:t>
            </a:r>
            <a:r>
              <a:rPr lang="en-US" sz="800" b="0" i="0" u="none" strike="noStrike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Lower is Better</a:t>
            </a:r>
            <a:endParaRPr lang="en-US" sz="800" b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Manual Review</c:v>
          </c:tx>
          <c:spPr>
            <a:ln w="34925" cap="rnd">
              <a:solidFill>
                <a:schemeClr val="bg1">
                  <a:lumMod val="75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Ref>
              <c:f>Calculator!$AO$12:$AR$12</c:f>
              <c:numCache>
                <c:formatCode>"$"#,##0.00</c:formatCode>
                <c:ptCount val="4"/>
                <c:pt idx="0">
                  <c:v>14554360.799999997</c:v>
                </c:pt>
                <c:pt idx="1">
                  <c:v>29108721.599999994</c:v>
                </c:pt>
                <c:pt idx="2">
                  <c:v>43663082.399999991</c:v>
                </c:pt>
                <c:pt idx="3">
                  <c:v>58217443.199999988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76-4466-8F24-ACDD8C721753}"/>
            </c:ext>
          </c:extLst>
        </c:ser>
        <c:ser>
          <c:idx val="1"/>
          <c:order val="1"/>
          <c:tx>
            <c:v>DISA SCAP</c:v>
          </c:tx>
          <c:spPr>
            <a:ln w="34925" cap="rnd">
              <a:solidFill>
                <a:srgbClr val="F2E384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F2E384"/>
              </a:solidFill>
              <a:ln w="9525">
                <a:solidFill>
                  <a:srgbClr val="F2E38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2E384"/>
              </a:solidFill>
              <a:ln>
                <a:solidFill>
                  <a:srgbClr val="F2E384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Ref>
              <c:f>Calculator!$AO$13:$AR$13</c:f>
              <c:numCache>
                <c:formatCode>"$"#,##0.00</c:formatCode>
                <c:ptCount val="4"/>
                <c:pt idx="0">
                  <c:v>2584877.4000000008</c:v>
                </c:pt>
                <c:pt idx="1">
                  <c:v>5169754.8000000017</c:v>
                </c:pt>
                <c:pt idx="2">
                  <c:v>7754632.200000003</c:v>
                </c:pt>
                <c:pt idx="3">
                  <c:v>10339509.600000003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6-4466-8F24-ACDD8C721753}"/>
            </c:ext>
          </c:extLst>
        </c:ser>
        <c:ser>
          <c:idx val="0"/>
          <c:order val="2"/>
          <c:tx>
            <c:v>NIWC SCAP</c:v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Ref>
              <c:f>Calculator!$AO$14:$AR$14</c:f>
              <c:numCache>
                <c:formatCode>"$"#,##0.00</c:formatCode>
                <c:ptCount val="4"/>
                <c:pt idx="0">
                  <c:v>1742797.3500000003</c:v>
                </c:pt>
                <c:pt idx="1">
                  <c:v>3485594.7000000007</c:v>
                </c:pt>
                <c:pt idx="2">
                  <c:v>5228392.0500000007</c:v>
                </c:pt>
                <c:pt idx="3">
                  <c:v>6971189.4000000013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6-4466-8F24-ACDD8C721753}"/>
            </c:ext>
          </c:extLst>
        </c:ser>
        <c:ser>
          <c:idx val="3"/>
          <c:order val="3"/>
          <c:tx>
            <c:v>Evaluate-STIG</c:v>
          </c:tx>
          <c:spPr>
            <a:ln w="34925" cap="rnd">
              <a:solidFill>
                <a:srgbClr val="38B6FF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38B6FF"/>
              </a:solidFill>
              <a:ln w="9525">
                <a:solidFill>
                  <a:srgbClr val="38B6FF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38B6FF"/>
              </a:solidFill>
              <a:ln>
                <a:solidFill>
                  <a:srgbClr val="38B6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Calculator!$AO$15:$AR$15</c:f>
              <c:numCache>
                <c:formatCode>"$"#,##0.00</c:formatCode>
                <c:ptCount val="4"/>
                <c:pt idx="0">
                  <c:v>317907.45</c:v>
                </c:pt>
                <c:pt idx="1">
                  <c:v>635814.9</c:v>
                </c:pt>
                <c:pt idx="2">
                  <c:v>953722.35000000009</c:v>
                </c:pt>
                <c:pt idx="3">
                  <c:v>1271629.8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5-4EAF-B0D4-8B46B06E1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19384"/>
        <c:axId val="32620040"/>
      </c:line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labor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Productivity Gain</a:t>
            </a:r>
            <a:r>
              <a:rPr lang="en-US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over Manual Review</a:t>
            </a:r>
            <a:endParaRPr lang="en-US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2E384"/>
              </a:solidFill>
              <a:ln>
                <a:solidFill>
                  <a:srgbClr val="F2E384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A9-48A2-A562-B14D29BCFD4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A9-48A2-A562-B14D29BCFD4E}"/>
              </c:ext>
            </c:extLst>
          </c:dPt>
          <c:dPt>
            <c:idx val="2"/>
            <c:invertIfNegative val="0"/>
            <c:bubble3D val="0"/>
            <c:spPr>
              <a:solidFill>
                <a:srgbClr val="38B6FF"/>
              </a:solidFill>
              <a:ln>
                <a:solidFill>
                  <a:srgbClr val="38B6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A8-454C-BEB2-5D1CA25C1219}"/>
              </c:ext>
            </c:extLst>
          </c:dPt>
          <c:dLbls>
            <c:dLbl>
              <c:idx val="0"/>
              <c:numFmt formatCode="#,##0.00\ \x" sourceLinked="0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non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8A9-48A2-A562-B14D29BCFD4E}"/>
                </c:ext>
              </c:extLst>
            </c:dLbl>
            <c:dLbl>
              <c:idx val="1"/>
              <c:numFmt formatCode="#,##0.00\ \x" sourceLinked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non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8A9-48A2-A562-B14D29BCFD4E}"/>
                </c:ext>
              </c:extLst>
            </c:dLbl>
            <c:dLbl>
              <c:idx val="2"/>
              <c:numFmt formatCode="#,##0.00\ \x" sourceLinked="0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non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9A8-454C-BEB2-5D1CA25C1219}"/>
                </c:ext>
              </c:extLst>
            </c:dLbl>
            <c:numFmt formatCode="#,##0.00\ \x" sourceLinked="0"/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DISA SCAP</c:v>
              </c:pt>
              <c:pt idx="1">
                <c:v>NIWC SCAP</c:v>
              </c:pt>
              <c:pt idx="2">
                <c:v>Evaluate-STIG</c:v>
              </c:pt>
            </c:strLit>
          </c:cat>
          <c:val>
            <c:numRef>
              <c:f>Calculator!$V$7:$X$7</c:f>
              <c:numCache>
                <c:formatCode>0.00%</c:formatCode>
                <c:ptCount val="3"/>
                <c:pt idx="0">
                  <c:v>4.6214695726865918</c:v>
                </c:pt>
                <c:pt idx="1">
                  <c:v>7.3331455645178263</c:v>
                </c:pt>
                <c:pt idx="2">
                  <c:v>42.165874120647608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A9-48A2-A562-B14D29BC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multiplier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\ \x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Remaining Non-Automated Checks</a:t>
            </a:r>
            <a:b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</a:br>
            <a:r>
              <a:rPr lang="en-US" sz="8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r>
              <a:rPr lang="en-US" sz="800" b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Total "NR" Items After Scan</a:t>
            </a: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| * Smaller is Better</a:t>
            </a:r>
            <a:endParaRPr lang="en-US" sz="800" b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272-4492-9B04-42BB77D919C0}"/>
              </c:ext>
            </c:extLst>
          </c:dPt>
          <c:dPt>
            <c:idx val="1"/>
            <c:invertIfNegative val="0"/>
            <c:bubble3D val="0"/>
            <c:spPr>
              <a:solidFill>
                <a:srgbClr val="F2E38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272-4492-9B04-42BB77D919C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272-4492-9B04-42BB77D919C0}"/>
              </c:ext>
            </c:extLst>
          </c:dPt>
          <c:dPt>
            <c:idx val="3"/>
            <c:invertIfNegative val="0"/>
            <c:bubble3D val="0"/>
            <c:spPr>
              <a:solidFill>
                <a:srgbClr val="38B6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07-4D56-93A6-55EF8AD266F7}"/>
              </c:ext>
            </c:extLst>
          </c:dPt>
          <c:cat>
            <c:strRef>
              <c:f>Charts!$CJ$11:$CJ$14</c:f>
              <c:strCache>
                <c:ptCount val="4"/>
                <c:pt idx="0">
                  <c:v>Total Checks</c:v>
                </c:pt>
                <c:pt idx="1">
                  <c:v>DISA SCAP</c:v>
                </c:pt>
                <c:pt idx="2">
                  <c:v>NIWC SCAP</c:v>
                </c:pt>
                <c:pt idx="3">
                  <c:v>Evaluate-STIG</c:v>
                </c:pt>
              </c:strCache>
            </c:strRef>
          </c:cat>
          <c:val>
            <c:numRef>
              <c:f>Charts!$CL$11:$CL$14</c:f>
              <c:numCache>
                <c:formatCode>#,##0</c:formatCode>
                <c:ptCount val="4"/>
                <c:pt idx="0">
                  <c:v>1540144</c:v>
                </c:pt>
                <c:pt idx="1">
                  <c:v>273532</c:v>
                </c:pt>
                <c:pt idx="2">
                  <c:v>184423</c:v>
                </c:pt>
                <c:pt idx="3">
                  <c:v>33641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72-4492-9B04-42BB77D91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barChart>
        <c:barDir val="bar"/>
        <c:grouping val="clustered"/>
        <c:varyColors val="0"/>
        <c:ser>
          <c:idx val="1"/>
          <c:order val="1"/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282F-4AC9-8FB7-EBA349D18A3A}"/>
                </c:ext>
              </c:extLst>
            </c:dLbl>
            <c:dLbl>
              <c:idx val="1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282F-4AC9-8FB7-EBA349D18A3A}"/>
                </c:ext>
              </c:extLst>
            </c:dLbl>
            <c:dLbl>
              <c:idx val="2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282F-4AC9-8FB7-EBA349D18A3A}"/>
                </c:ext>
              </c:extLst>
            </c:dLbl>
            <c:dLbl>
              <c:idx val="3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282F-4AC9-8FB7-EBA349D18A3A}"/>
                </c:ext>
              </c:extLst>
            </c:dLbl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Charts!$CN$11:$CN$14</c:f>
              <c:strCache>
                <c:ptCount val="4"/>
                <c:pt idx="0">
                  <c:v>1,540,144</c:v>
                </c:pt>
                <c:pt idx="1">
                  <c:v>273,532
 (17.8%)</c:v>
                </c:pt>
                <c:pt idx="2">
                  <c:v>184,423
 (12.0%)</c:v>
                </c:pt>
                <c:pt idx="3">
                  <c:v>33,641
 (2.2%)</c:v>
                </c:pt>
              </c:strCache>
            </c:strRef>
          </c:cat>
          <c:val>
            <c:numRef>
              <c:f>Charts!$CL$11:$CL$14</c:f>
              <c:numCache>
                <c:formatCode>#,##0</c:formatCode>
                <c:ptCount val="4"/>
                <c:pt idx="0">
                  <c:v>1540144</c:v>
                </c:pt>
                <c:pt idx="1">
                  <c:v>273532</c:v>
                </c:pt>
                <c:pt idx="2">
                  <c:v>184423</c:v>
                </c:pt>
                <c:pt idx="3">
                  <c:v>33641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72-4492-9B04-42BB77D91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904680"/>
        <c:axId val="441914520"/>
      </c:barChart>
      <c:catAx>
        <c:axId val="326193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remaining</a:t>
                </a:r>
                <a:r>
                  <a:rPr lang="en-US" baseline="0"/>
                  <a:t> not reviewed items after scan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valAx>
        <c:axId val="441914520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441904680"/>
        <c:crosses val="autoZero"/>
        <c:crossBetween val="between"/>
      </c:valAx>
      <c:catAx>
        <c:axId val="441904680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44191452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Annual Cost Avoidance Over Manual Review</a:t>
            </a:r>
            <a:b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</a:br>
            <a:r>
              <a:rPr lang="en-US" sz="800" b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</a:t>
            </a: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Assumes Quartely Reviews | </a:t>
            </a:r>
            <a:r>
              <a:rPr lang="en-US" sz="800" b="0" i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Higher is Better</a:t>
            </a:r>
            <a:endParaRPr lang="en-US" sz="8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Charts!$CL$31</c:f>
              <c:strCache>
                <c:ptCount val="1"/>
                <c:pt idx="0">
                  <c:v>Evaluate-STIG</c:v>
                </c:pt>
              </c:strCache>
            </c:strRef>
          </c:tx>
          <c:spPr>
            <a:ln w="34925" cap="rnd">
              <a:solidFill>
                <a:srgbClr val="38B6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solidFill>
                <a:srgbClr val="38B6FF"/>
              </a:solidFill>
              <a:ln w="9525">
                <a:solidFill>
                  <a:srgbClr val="38B6FF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38B6FF"/>
              </a:solidFill>
              <a:ln>
                <a:solidFill>
                  <a:srgbClr val="38B6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Charts!$CI$32:$CI$35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Charts!$CL$32:$CL$35</c:f>
              <c:numCache>
                <c:formatCode>"$"#,##0.00</c:formatCode>
                <c:ptCount val="4"/>
                <c:pt idx="0">
                  <c:v>14236453.349999998</c:v>
                </c:pt>
                <c:pt idx="1">
                  <c:v>28472906.699999996</c:v>
                </c:pt>
                <c:pt idx="2">
                  <c:v>42709360.049999997</c:v>
                </c:pt>
                <c:pt idx="3">
                  <c:v>56945813.399999991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8E-49E6-9BEA-C689B87745DE}"/>
            </c:ext>
          </c:extLst>
        </c:ser>
        <c:ser>
          <c:idx val="3"/>
          <c:order val="1"/>
          <c:tx>
            <c:strRef>
              <c:f>Charts!$CK$31</c:f>
              <c:strCache>
                <c:ptCount val="1"/>
                <c:pt idx="0">
                  <c:v>NIWC SCAP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Charts!$CK$32:$CK$35</c:f>
              <c:numCache>
                <c:formatCode>"$"#,##0.00</c:formatCode>
                <c:ptCount val="4"/>
                <c:pt idx="0">
                  <c:v>12811563.449999997</c:v>
                </c:pt>
                <c:pt idx="1">
                  <c:v>25623126.899999995</c:v>
                </c:pt>
                <c:pt idx="2">
                  <c:v>38434690.349999994</c:v>
                </c:pt>
                <c:pt idx="3">
                  <c:v>51246253.79999999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B-481B-A2A9-32D3F4B0B313}"/>
            </c:ext>
          </c:extLst>
        </c:ser>
        <c:ser>
          <c:idx val="0"/>
          <c:order val="2"/>
          <c:tx>
            <c:strRef>
              <c:f>Charts!$CJ$31</c:f>
              <c:strCache>
                <c:ptCount val="1"/>
                <c:pt idx="0">
                  <c:v>DISA SCAP</c:v>
                </c:pt>
              </c:strCache>
            </c:strRef>
          </c:tx>
          <c:spPr>
            <a:ln w="34925" cap="rnd">
              <a:solidFill>
                <a:srgbClr val="F2E38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solidFill>
                <a:srgbClr val="F2E384"/>
              </a:solidFill>
              <a:ln w="9525">
                <a:solidFill>
                  <a:srgbClr val="F2E38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2E384"/>
              </a:solidFill>
              <a:ln>
                <a:solidFill>
                  <a:srgbClr val="F2E384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Charts!$CI$32:$CI$35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Charts!$CJ$32:$CJ$35</c:f>
              <c:numCache>
                <c:formatCode>"$"#,##0.00</c:formatCode>
                <c:ptCount val="4"/>
                <c:pt idx="0">
                  <c:v>11969483.399999997</c:v>
                </c:pt>
                <c:pt idx="1">
                  <c:v>23938966.799999993</c:v>
                </c:pt>
                <c:pt idx="2">
                  <c:v>35908450.199999988</c:v>
                </c:pt>
                <c:pt idx="3">
                  <c:v>47877933.599999987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8E-49E6-9BEA-C689B87745DE}"/>
            </c:ext>
          </c:extLst>
        </c:ser>
        <c:ser>
          <c:idx val="2"/>
          <c:order val="3"/>
          <c:tx>
            <c:strRef>
              <c:f>Charts!$CM$31</c:f>
              <c:strCache>
                <c:ptCount val="1"/>
                <c:pt idx="0">
                  <c:v>Avoidance Over DISA SCAP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8E-49E6-9BEA-C689B87745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8E-49E6-9BEA-C689B87745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8E-49E6-9BEA-C689B87745DE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F3BDDD-71E5-49A1-833A-E1A450F96770}" type="CELLRANGE">
                      <a:rPr lang="en-US"/>
                      <a:pPr>
                        <a:defRPr>
                          <a:solidFill>
                            <a:schemeClr val="accent5">
                              <a:lumMod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>
                        <a:solidFill>
                          <a:schemeClr val="accent5">
                            <a:lumMod val="50000"/>
                          </a:schemeClr>
                        </a:solidFill>
                      </a:defRPr>
                    </a:pPr>
                    <a:fld id="{D9582F15-72B0-4D22-BCB6-3DED1758C637}" type="SERIESNAME">
                      <a:rPr lang="en-US"/>
                      <a:pPr>
                        <a:defRPr>
                          <a:solidFill>
                            <a:schemeClr val="accent5">
                              <a:lumMod val="50000"/>
                            </a:schemeClr>
                          </a:solidFill>
                        </a:defRPr>
                      </a:pPr>
                      <a:t>[SERIES NAME]</a:t>
                    </a:fld>
                    <a:endParaRPr lang="en-US"/>
                  </a:p>
                </c:rich>
              </c:tx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upArrow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B8E-49E6-9BEA-C689B87745DE}"/>
                </c:ext>
              </c:extLst>
            </c:dLbl>
            <c:spPr>
              <a:solidFill>
                <a:srgbClr val="71CC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upArrow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strRef>
              <c:f>Charts!$CI$32:$CI$35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Charts!$CM$32:$CM$35</c:f>
              <c:numCache>
                <c:formatCode>"$"#,##0.00</c:formatCode>
                <c:ptCount val="4"/>
                <c:pt idx="0">
                  <c:v>13102968.374999996</c:v>
                </c:pt>
                <c:pt idx="1">
                  <c:v>26205936.749999993</c:v>
                </c:pt>
                <c:pt idx="2">
                  <c:v>39308905.124999993</c:v>
                </c:pt>
                <c:pt idx="3">
                  <c:v>52411873.499999985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Charts!$CO$32:$CO$35</c15:f>
                <c15:dlblRangeCache>
                  <c:ptCount val="4"/>
                  <c:pt idx="0">
                    <c:v>$2,266,969.95</c:v>
                  </c:pt>
                  <c:pt idx="1">
                    <c:v>$4,533,939.90</c:v>
                  </c:pt>
                  <c:pt idx="2">
                    <c:v>$6,800,909.85</c:v>
                  </c:pt>
                  <c:pt idx="3">
                    <c:v>$9,067,879.80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B8E-49E6-9BEA-C689B877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chemeClr val="accent6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marker val="1"/>
        <c:smooth val="0"/>
        <c:axId val="32619384"/>
        <c:axId val="32620040"/>
      </c:line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avoidance over manual review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2</xdr:row>
      <xdr:rowOff>82550</xdr:rowOff>
    </xdr:from>
    <xdr:to>
      <xdr:col>3</xdr:col>
      <xdr:colOff>1193800</xdr:colOff>
      <xdr:row>5</xdr:row>
      <xdr:rowOff>196850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57200"/>
          <a:ext cx="1358900" cy="135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0</xdr:row>
      <xdr:rowOff>190499</xdr:rowOff>
    </xdr:from>
    <xdr:to>
      <xdr:col>41</xdr:col>
      <xdr:colOff>180974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42</xdr:col>
      <xdr:colOff>0</xdr:colOff>
      <xdr:row>78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0</xdr:colOff>
      <xdr:row>1</xdr:row>
      <xdr:rowOff>0</xdr:rowOff>
    </xdr:from>
    <xdr:to>
      <xdr:col>84</xdr:col>
      <xdr:colOff>0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53</xdr:row>
      <xdr:rowOff>0</xdr:rowOff>
    </xdr:from>
    <xdr:to>
      <xdr:col>84</xdr:col>
      <xdr:colOff>0</xdr:colOff>
      <xdr:row>78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42</xdr:col>
      <xdr:colOff>0</xdr:colOff>
      <xdr:row>52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0</xdr:colOff>
      <xdr:row>27</xdr:row>
      <xdr:rowOff>0</xdr:rowOff>
    </xdr:from>
    <xdr:to>
      <xdr:col>84</xdr:col>
      <xdr:colOff>0</xdr:colOff>
      <xdr:row>52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2" displayName="Table242" ref="D11:AL117" totalsRowShown="0" headerRowDxfId="81" dataDxfId="79" headerRowBorderDxfId="80" tableBorderDxfId="78">
  <sortState xmlns:xlrd2="http://schemas.microsoft.com/office/spreadsheetml/2017/richdata2" ref="D12:E46">
    <sortCondition ref="D10:D45"/>
  </sortState>
  <tableColumns count="35">
    <tableColumn id="1" xr3:uid="{00000000-0010-0000-0000-000001000000}" name="STIG Supported by Evaluate-STIG" dataDxfId="77">
      <calculatedColumnFormula>(STIG_Metrics!A12)</calculatedColumnFormula>
    </tableColumn>
    <tableColumn id="2" xr3:uid="{00000000-0010-0000-0000-000002000000}" name="Step 2:_x000a_Enter Total Installed Instances of Product" dataDxfId="76"/>
    <tableColumn id="3" xr3:uid="{00000000-0010-0000-0000-000003000000}" name=" " dataDxfId="75"/>
    <tableColumn id="36" xr3:uid="{0988DE11-A8EB-455E-BB8B-665A1718C9CC}" name="Annual Labor Hour Avoidance Over DISA SCAP" dataDxfId="74">
      <calculatedColumnFormula>IF(E12=0,"",(AG12*24)*4)</calculatedColumnFormula>
    </tableColumn>
    <tableColumn id="37" xr3:uid="{F61C6B4D-E9E9-41E6-B818-8E99BF4DA56E}" name="Annual Cost Avoidance Over DISA SCAP" dataDxfId="73">
      <calculatedColumnFormula>IF(E12=0,"",PRODUCT($G12,$E$7))</calculatedColumnFormula>
    </tableColumn>
    <tableColumn id="38" xr3:uid="{995F6F74-61DE-4AC6-BC1D-28C630F9A51B}" name="Annual Labor Hour Avoidance Over NIWC Enhanced SCAP" dataDxfId="72">
      <calculatedColumnFormula>IF(E12=0,"",(AH12*24)*4)</calculatedColumnFormula>
    </tableColumn>
    <tableColumn id="39" xr3:uid="{8FE20EAA-E484-4A88-A2A5-5268608DC620}" name="Annual Cost Avoidance Over NIWC Enhanced SCAP" dataDxfId="71">
      <calculatedColumnFormula>IF(E12=0,"",PRODUCT($I12,$E$7))</calculatedColumnFormula>
    </tableColumn>
    <tableColumn id="4" xr3:uid="{00000000-0010-0000-0000-000004000000}" name="STIG Checks" dataDxfId="70">
      <calculatedColumnFormula>IF($E12=0,"",(STIG_Metrics!E12)*$E12)</calculatedColumnFormula>
    </tableColumn>
    <tableColumn id="26" xr3:uid="{00000000-0010-0000-0000-00001A000000}" name="Completed Checks:_x000a_DISA SCAP" dataDxfId="69">
      <calculatedColumnFormula>IF($E12=0,"",(STIG_Metrics!F12)*$E12)</calculatedColumnFormula>
    </tableColumn>
    <tableColumn id="24" xr3:uid="{238A8057-3A34-46B3-8874-6A904B978508}" name="Completed Checks:_x000a_NIWC Enhanced SCAP" dataDxfId="68"/>
    <tableColumn id="27" xr3:uid="{00000000-0010-0000-0000-00001B000000}" name="Completed Checks:_x000a_Evaluate-STIG" dataDxfId="67">
      <calculatedColumnFormula>IF($E12=0,"",(STIG_Metrics!H12)*$E12)</calculatedColumnFormula>
    </tableColumn>
    <tableColumn id="5" xr3:uid="{00000000-0010-0000-0000-000005000000}" name="Remaining &quot;NR&quot;:_x000a_DISA SCAP" dataDxfId="66">
      <calculatedColumnFormula>IF($E12=0,"",(STIG_Metrics!E12-STIG_Metrics!F12)*$E12)</calculatedColumnFormula>
    </tableColumn>
    <tableColumn id="25" xr3:uid="{31FFF8C6-448C-48B9-93A9-9263C48BBBBE}" name="Remaining &quot;NR&quot;:_x000a_NIWC Enhanced SCAP" dataDxfId="65">
      <calculatedColumnFormula>IF($E12=0,"",(STIG_Metrics!E12-STIG_Metrics!G12)*$E12)</calculatedColumnFormula>
    </tableColumn>
    <tableColumn id="6" xr3:uid="{00000000-0010-0000-0000-000006000000}" name="Remaining &quot;NR&quot;:_x000a_Evaluate-STIG" dataDxfId="64">
      <calculatedColumnFormula>IF($E12=0,"",(STIG_Metrics!E12-STIG_Metrics!H12)*$E12)</calculatedColumnFormula>
    </tableColumn>
    <tableColumn id="7" xr3:uid="{00000000-0010-0000-0000-000007000000}" name="Time to Complete STIG per Quarter:_x000a_Manual" dataDxfId="63">
      <calculatedColumnFormula>IF($E12=0,"",FLOOR($AC12*3,1)&amp;" Days"&amp;TEXT(SUM($AC12-TIME(8,0,0)*FLOOR($AC12*3,1))," h")&amp;" Hrs")</calculatedColumnFormula>
    </tableColumn>
    <tableColumn id="8" xr3:uid="{00000000-0010-0000-0000-000008000000}" name="Time to Complete STIG Review (8 hr/Day):_x000a_DISA SCAP" dataDxfId="62">
      <calculatedColumnFormula>IF($E12=0,"",FLOOR($AD12*3,1)&amp;" Days"&amp;TEXT(SUM($AD12-TIME(8,0,0)*FLOOR($AD12*3,1))," h")&amp;" Hrs")</calculatedColumnFormula>
    </tableColumn>
    <tableColumn id="28" xr3:uid="{4B1502DE-042D-4632-804B-5927B812C03B}" name="Time to Complete STIG Review (8 hr/Day):_x000a_NIWC Enhanced SCAP" dataDxfId="61">
      <calculatedColumnFormula>IF($E12=0,"",FLOOR($AE12*3,1)&amp;" Days"&amp;TEXT(SUM($AE12-TIME(8,0,0)*FLOOR($AE12*3,1))," h")&amp;" Hrs")</calculatedColumnFormula>
    </tableColumn>
    <tableColumn id="9" xr3:uid="{00000000-0010-0000-0000-000009000000}" name="Time to Complete STIG Review (8 hr/Day):_x000a_Evaluate-STIG" dataDxfId="60">
      <calculatedColumnFormula>IF($E12=0,"",FLOOR($AF12*3,1)&amp; " Days"&amp;TEXT(SUM($AF12-TIME(8,0,0)*FLOOR($AF12*3,1))," h") &amp; " Hrs")</calculatedColumnFormula>
    </tableColumn>
    <tableColumn id="10" xr3:uid="{00000000-0010-0000-0000-00000A000000}" name="Productivity Gain:_x000a_DISA SCAP vs Manual" dataDxfId="59">
      <calculatedColumnFormula>IF($E12=0,"",STIG_Metrics!R12)</calculatedColumnFormula>
    </tableColumn>
    <tableColumn id="32" xr3:uid="{C59C0853-8844-432C-B663-14191A91AFE3}" name="Productivity Gain:_x000a_NIWC Enhanced SCAP vs Manual" dataDxfId="58">
      <calculatedColumnFormula>IF($E12=0,"",STIG_Metrics!S12)</calculatedColumnFormula>
    </tableColumn>
    <tableColumn id="11" xr3:uid="{00000000-0010-0000-0000-00000B000000}" name="Productivity Gain:_x000a_Evaluate-STIG vs Manual" dataDxfId="57">
      <calculatedColumnFormula>IF($E12=0,"",STIG_Metrics!T12)</calculatedColumnFormula>
    </tableColumn>
    <tableColumn id="12" xr3:uid="{00000000-0010-0000-0000-00000C000000}" name="Cost to Complete STIG per Quarter:_x000a_Manual" dataDxfId="56">
      <calculatedColumnFormula>IF($E12=0,"",((K12*$E$8/60)*$E$7))</calculatedColumnFormula>
    </tableColumn>
    <tableColumn id="13" xr3:uid="{00000000-0010-0000-0000-00000D000000}" name="Cost to Complete STIG per Quarter:_x000a_DISA SCAP" dataDxfId="55">
      <calculatedColumnFormula>IF($E12=0,"",((O12*$E$8/60)*$E$7))</calculatedColumnFormula>
    </tableColumn>
    <tableColumn id="33" xr3:uid="{24A8D379-A817-45C1-8BE1-3ABDCBA1A726}" name="Cost to Complete STIG per Quarter:_x000a_NIWC Enhanced SCAP" dataDxfId="54">
      <calculatedColumnFormula>IF($E12=0,"",((P12*$E$8/60)*$E$7))</calculatedColumnFormula>
    </tableColumn>
    <tableColumn id="14" xr3:uid="{00000000-0010-0000-0000-00000E000000}" name="Cost to Complete STIG per Quarter:_x000a_Evaluate-STIG" dataDxfId="53">
      <calculatedColumnFormula>IF($E12=0,"",((Q12*$E$8/60)*$E$7))</calculatedColumnFormula>
    </tableColumn>
    <tableColumn id="17" xr3:uid="{00000000-0010-0000-0000-000011000000}" name="Hours to Complete:_x000a_Manual" dataDxfId="52">
      <calculatedColumnFormula>IF($E12=0,"",IF(STIG_Metrics!N12=60,0,($E12/STIG_Metrics!N12)/24))</calculatedColumnFormula>
    </tableColumn>
    <tableColumn id="18" xr3:uid="{00000000-0010-0000-0000-000012000000}" name="Hours to Complete:_x000a_DISA SCAP" dataDxfId="51">
      <calculatedColumnFormula>IF($E12=0,"",IF(STIG_Metrics!O12=60,0,($E12/STIG_Metrics!O12)/24))</calculatedColumnFormula>
    </tableColumn>
    <tableColumn id="29" xr3:uid="{7096A89B-0C7C-4BFD-9EA9-AA8FA90A391E}" name="Hours to Complete:_x000a_NIWC Enhanced SCAP" dataDxfId="50">
      <calculatedColumnFormula>IF($E12=0,"",IF(STIG_Metrics!P12=60,0,($E12/STIG_Metrics!P12)/24))</calculatedColumnFormula>
    </tableColumn>
    <tableColumn id="19" xr3:uid="{00000000-0010-0000-0000-000013000000}" name="Hours to Complete:_x000a_Evaluate-STIG" dataDxfId="49">
      <calculatedColumnFormula>IF($E12=0,"",IF(STIG_Metrics!Q12=60,0,($E12/STIG_Metrics!Q12)/24))</calculatedColumnFormula>
    </tableColumn>
    <tableColumn id="21" xr3:uid="{00000000-0010-0000-0000-000015000000}" name="Evaluate-STIG over DISA SCAP Reduction" dataDxfId="48">
      <calculatedColumnFormula>IF($E12=0,"",$AD12-$AF12)</calculatedColumnFormula>
    </tableColumn>
    <tableColumn id="30" xr3:uid="{B589E4D7-520A-482C-8942-3B656C9AF018}" name="Evaluate-STIG over NIWC Enhanced SCAP Reduction" dataDxfId="47">
      <calculatedColumnFormula>IF($E12=0,"",$AE12-$AF12)</calculatedColumnFormula>
    </tableColumn>
    <tableColumn id="20" xr3:uid="{00000000-0010-0000-0000-000014000000}" name="Manual" dataDxfId="46">
      <calculatedColumnFormula>IF($E12=0,"",$E12/STIG_Metrics!N12)</calculatedColumnFormula>
    </tableColumn>
    <tableColumn id="22" xr3:uid="{00000000-0010-0000-0000-000016000000}" name="DISA SCAP" dataDxfId="45">
      <calculatedColumnFormula>IF($E12=0,"",$E12/STIG_Metrics!O12)</calculatedColumnFormula>
    </tableColumn>
    <tableColumn id="31" xr3:uid="{4AB65A33-AB1D-4E10-A218-4706764746EE}" name="NIWC Enhanced SCAP" dataDxfId="44">
      <calculatedColumnFormula>IF($E12=0,"",$E12/STIG_Metrics!P12)</calculatedColumnFormula>
    </tableColumn>
    <tableColumn id="23" xr3:uid="{00000000-0010-0000-0000-000017000000}" name="Evaluate-STIG" dataDxfId="43">
      <calculatedColumnFormula>IF($E12=0,"",$E12/STIG_Metrics!Q12)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1:Y117" totalsRowShown="0" headerRowDxfId="42" headerRowBorderDxfId="41" tableBorderDxfId="40">
  <sortState xmlns:xlrd2="http://schemas.microsoft.com/office/spreadsheetml/2017/richdata2" ref="A12:Y117">
    <sortCondition ref="A11:A117"/>
  </sortState>
  <tableColumns count="25">
    <tableColumn id="1" xr3:uid="{00000000-0010-0000-0100-000001000000}" name="STIG Supported by Evaluate-STIG" dataDxfId="39"/>
    <tableColumn id="25" xr3:uid="{927B008D-55A6-475C-85E3-9623D6FB3E6B}" name="DISA STIG Status" dataDxfId="38"/>
    <tableColumn id="2" xr3:uid="{00000000-0010-0000-0100-000002000000}" name="DISA Benchmark Available" dataDxfId="37"/>
    <tableColumn id="18" xr3:uid="{00000000-0010-0000-0100-000012000000}" name="NIWC Enhanced Benchmark Available" dataDxfId="36"/>
    <tableColumn id="10" xr3:uid="{00000000-0010-0000-0100-00000A000000}" name="Total STIG Checks" dataDxfId="35"/>
    <tableColumn id="3" xr3:uid="{00000000-0010-0000-0100-000003000000}" name="Total Completed Checks: DISA SCAP" dataDxfId="34"/>
    <tableColumn id="17" xr3:uid="{00000000-0010-0000-0100-000011000000}" name="Total Completed Checks: NIWC Enhanced SCAP" dataDxfId="33"/>
    <tableColumn id="4" xr3:uid="{00000000-0010-0000-0100-000004000000}" name="Total Completed Checks: Evaluate-STIG" dataDxfId="32"/>
    <tableColumn id="5" xr3:uid="{00000000-0010-0000-0100-000005000000}" name="Total Completed Checks: Evaluate-STIG Over DISA SCAP" dataDxfId="31">
      <calculatedColumnFormula>H12-F12</calculatedColumnFormula>
    </tableColumn>
    <tableColumn id="19" xr3:uid="{00000000-0010-0000-0100-000013000000}" name="Total Completed Checks: Evaluate-STIG Over NIWC Enhanced SCAP" dataDxfId="30"/>
    <tableColumn id="7" xr3:uid="{00000000-0010-0000-0100-000007000000}" name="Time to Complete (Minutes): Manual" dataDxfId="29">
      <calculatedColumnFormula>PRODUCT($E12,Calculator!$E$8)</calculatedColumnFormula>
    </tableColumn>
    <tableColumn id="6" xr3:uid="{00000000-0010-0000-0100-000006000000}" name="Time Savings (Minutes): Evaluate-STIG Over DISA SCAP" dataDxfId="28">
      <calculatedColumnFormula>PRODUCT($I12,Calculator!$E$8)</calculatedColumnFormula>
    </tableColumn>
    <tableColumn id="22" xr3:uid="{A9C3C8F7-04BD-4C7E-9CC3-EC47A6C181CF}" name="Time Savings (Minutes): Evaluate-STIG Over NIWC Enhanced SCAP" dataDxfId="27"/>
    <tableColumn id="15" xr3:uid="{00000000-0010-0000-0100-00000F000000}" name="STIGS Per Hour:_x000a_Manual" dataDxfId="26">
      <calculatedColumnFormula>60/($E12*Calculator!$E$8)</calculatedColumnFormula>
    </tableColumn>
    <tableColumn id="14" xr3:uid="{00000000-0010-0000-0100-00000E000000}" name="STIGS Per Hour:_x000a_DISA SCAP" dataDxfId="25">
      <calculatedColumnFormula>IF(($E12=$F12),60,60/(($E12-$F12)*Calculator!$E$8))</calculatedColumnFormula>
    </tableColumn>
    <tableColumn id="21" xr3:uid="{9E054D43-D4FC-4DFE-B781-1495BF8DF366}" name="STIGS Per Hour:_x000a_NIWC Enhanced SCAP" dataDxfId="24"/>
    <tableColumn id="13" xr3:uid="{00000000-0010-0000-0100-00000D000000}" name="STIGS Per Hour:_x000a_Evaluate-STIG" dataDxfId="23">
      <calculatedColumnFormula>IF(($E12=$H12),60,60/(($E12-$H12)*Calculator!$E$8))</calculatedColumnFormula>
    </tableColumn>
    <tableColumn id="16" xr3:uid="{00000000-0010-0000-0100-000010000000}" name="Productivity Gain:_x000a_DISA SCAP over Manual" dataDxfId="22">
      <calculatedColumnFormula>(O12-N12)/N12</calculatedColumnFormula>
    </tableColumn>
    <tableColumn id="23" xr3:uid="{EECC8E9E-EE1D-4E2D-A191-F65D6B89A12D}" name="Productivity Gain:_x000a_NIWC Enhanced SCAP over Manual" dataDxfId="21"/>
    <tableColumn id="12" xr3:uid="{00000000-0010-0000-0100-00000C000000}" name="Productivity Gain:_x000a_Evaluate-STIG Over Manual" dataDxfId="20">
      <calculatedColumnFormula>(Q12-N12)/N12</calculatedColumnFormula>
    </tableColumn>
    <tableColumn id="11" xr3:uid="{00000000-0010-0000-0100-00000B000000}" name="Productivity Gain:_x000a_Evaluate-STIG Over DISA SCAP" dataDxfId="19">
      <calculatedColumnFormula>(Q12-O12)/O12</calculatedColumnFormula>
    </tableColumn>
    <tableColumn id="24" xr3:uid="{F1010EF7-C816-473B-8296-DE4030573655}" name="Productivity Gain:_x000a_Evaluate-STIG Over NIWC Enhanced SCAP" dataDxfId="18">
      <calculatedColumnFormula>(Q12-P12)/P12</calculatedColumnFormula>
    </tableColumn>
    <tableColumn id="8" xr3:uid="{00000000-0010-0000-0100-000008000000}" name="CKL Completion (Finalized Checks): _x000a_DISA SCAP" dataDxfId="17">
      <calculatedColumnFormula xml:space="preserve"> F12/E12</calculatedColumnFormula>
    </tableColumn>
    <tableColumn id="20" xr3:uid="{00000000-0010-0000-0100-000014000000}" name="CKL Completion (Finalized Checks): _x000a_NIWC SCAP" dataDxfId="16"/>
    <tableColumn id="9" xr3:uid="{00000000-0010-0000-0100-000009000000}" name="CKL Completion (Finalized Checks):_x000a_Evaluate-STIG" dataDxfId="15">
      <calculatedColumnFormula>H12/E12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AZ122"/>
  <sheetViews>
    <sheetView tabSelected="1" zoomScaleNormal="100" workbookViewId="0">
      <pane ySplit="11" topLeftCell="A12" activePane="bottomLeft" state="frozen"/>
      <selection pane="bottomLeft" activeCell="E92" sqref="E92"/>
    </sheetView>
  </sheetViews>
  <sheetFormatPr defaultColWidth="9.140625" defaultRowHeight="15"/>
  <cols>
    <col min="1" max="3" width="2.7109375" style="39" customWidth="1"/>
    <col min="4" max="4" width="40.7109375" style="40" customWidth="1"/>
    <col min="5" max="5" width="21.7109375" style="41" customWidth="1"/>
    <col min="6" max="6" width="2.7109375" style="39" customWidth="1"/>
    <col min="7" max="10" width="24.7109375" style="39" customWidth="1"/>
    <col min="11" max="11" width="23.7109375" style="39" customWidth="1"/>
    <col min="12" max="14" width="23.7109375" style="39" hidden="1" customWidth="1"/>
    <col min="15" max="17" width="24.7109375" style="39" customWidth="1"/>
    <col min="18" max="18" width="24.7109375" style="39" hidden="1" customWidth="1"/>
    <col min="19" max="21" width="24.7109375" style="39" customWidth="1"/>
    <col min="22" max="28" width="24.7109375" style="39" hidden="1" customWidth="1"/>
    <col min="29" max="38" width="18.7109375" style="39" hidden="1" customWidth="1"/>
    <col min="39" max="39" width="2.7109375" style="39" hidden="1" customWidth="1"/>
    <col min="40" max="40" width="20.28515625" style="39" hidden="1" customWidth="1"/>
    <col min="41" max="44" width="14.7109375" style="39" hidden="1" customWidth="1"/>
    <col min="45" max="45" width="2.7109375" style="39" hidden="1" customWidth="1"/>
    <col min="46" max="46" width="27.7109375" style="39" hidden="1" customWidth="1"/>
    <col min="47" max="50" width="14.7109375" style="39" hidden="1" customWidth="1"/>
    <col min="51" max="52" width="2.7109375" style="39" customWidth="1"/>
    <col min="53" max="63" width="9.140625" style="39"/>
    <col min="64" max="64" width="12.7109375" style="39" bestFit="1" customWidth="1"/>
    <col min="65" max="16384" width="9.140625" style="39"/>
  </cols>
  <sheetData>
    <row r="1" spans="2:52">
      <c r="AD1" s="39" t="s">
        <v>0</v>
      </c>
    </row>
    <row r="2" spans="2:52" ht="15" customHeight="1">
      <c r="B2" s="11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</row>
    <row r="3" spans="2:52" ht="15" customHeight="1" thickBot="1">
      <c r="B3" s="110"/>
      <c r="C3" s="105"/>
      <c r="D3" s="105"/>
      <c r="E3" s="105"/>
      <c r="F3" s="105"/>
      <c r="G3" s="105"/>
      <c r="H3" s="105"/>
      <c r="I3" s="105"/>
      <c r="J3" s="105"/>
      <c r="K3" s="105"/>
      <c r="L3" s="109" t="s">
        <v>153</v>
      </c>
      <c r="M3" s="109" t="s">
        <v>153</v>
      </c>
      <c r="N3" s="109" t="s">
        <v>153</v>
      </c>
      <c r="O3" s="105"/>
      <c r="P3" s="105"/>
      <c r="Q3" s="82"/>
      <c r="R3" s="109" t="s">
        <v>153</v>
      </c>
      <c r="S3" s="82"/>
      <c r="T3" s="82"/>
      <c r="U3" s="82"/>
      <c r="V3" s="109" t="s">
        <v>153</v>
      </c>
      <c r="W3" s="109" t="s">
        <v>153</v>
      </c>
      <c r="X3" s="109" t="s">
        <v>153</v>
      </c>
      <c r="Y3" s="109" t="s">
        <v>153</v>
      </c>
      <c r="Z3" s="109" t="s">
        <v>153</v>
      </c>
      <c r="AA3" s="109" t="s">
        <v>153</v>
      </c>
      <c r="AB3" s="109" t="s">
        <v>153</v>
      </c>
      <c r="AC3" s="109" t="s">
        <v>153</v>
      </c>
      <c r="AD3" s="109" t="s">
        <v>153</v>
      </c>
      <c r="AE3" s="109" t="s">
        <v>153</v>
      </c>
      <c r="AF3" s="109" t="s">
        <v>153</v>
      </c>
      <c r="AG3" s="109" t="s">
        <v>153</v>
      </c>
      <c r="AH3" s="109" t="s">
        <v>153</v>
      </c>
      <c r="AI3" s="109" t="s">
        <v>153</v>
      </c>
      <c r="AJ3" s="109" t="s">
        <v>153</v>
      </c>
      <c r="AK3" s="109" t="s">
        <v>153</v>
      </c>
      <c r="AL3" s="109" t="s">
        <v>153</v>
      </c>
      <c r="AM3" s="109" t="s">
        <v>153</v>
      </c>
      <c r="AN3" s="109" t="s">
        <v>153</v>
      </c>
      <c r="AO3" s="109" t="s">
        <v>153</v>
      </c>
      <c r="AP3" s="109" t="s">
        <v>153</v>
      </c>
      <c r="AQ3" s="109" t="s">
        <v>153</v>
      </c>
      <c r="AR3" s="109" t="s">
        <v>153</v>
      </c>
      <c r="AS3" s="109" t="s">
        <v>153</v>
      </c>
      <c r="AT3" s="109" t="s">
        <v>153</v>
      </c>
      <c r="AU3" s="109" t="s">
        <v>153</v>
      </c>
      <c r="AV3" s="109" t="s">
        <v>153</v>
      </c>
      <c r="AW3" s="109" t="s">
        <v>153</v>
      </c>
      <c r="AX3" s="109" t="s">
        <v>153</v>
      </c>
      <c r="AY3" s="83"/>
      <c r="AZ3" s="110"/>
    </row>
    <row r="4" spans="2:52" ht="65.099999999999994" customHeight="1" thickBot="1">
      <c r="B4" s="110"/>
      <c r="C4" s="105"/>
      <c r="D4" s="294" t="s">
        <v>170</v>
      </c>
      <c r="E4" s="295"/>
      <c r="F4" s="84"/>
      <c r="G4" s="305" t="s">
        <v>113</v>
      </c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7"/>
      <c r="V4" s="213"/>
      <c r="W4" s="213"/>
      <c r="X4" s="213"/>
      <c r="Y4" s="213"/>
      <c r="Z4" s="213"/>
      <c r="AA4" s="213"/>
      <c r="AB4" s="219"/>
      <c r="AC4" s="82"/>
      <c r="AD4" s="105"/>
      <c r="AE4" s="105"/>
      <c r="AF4" s="83"/>
      <c r="AG4" s="85"/>
      <c r="AH4" s="85"/>
      <c r="AI4" s="86"/>
      <c r="AJ4" s="86"/>
      <c r="AK4" s="86"/>
      <c r="AL4" s="86"/>
      <c r="AM4" s="86"/>
      <c r="AN4" s="86"/>
      <c r="AO4" s="83"/>
      <c r="AP4" s="83"/>
      <c r="AQ4" s="83"/>
      <c r="AR4" s="83"/>
      <c r="AS4" s="83"/>
      <c r="AT4" s="83"/>
      <c r="AU4" s="83"/>
      <c r="AV4" s="83"/>
      <c r="AW4" s="83"/>
      <c r="AX4" s="98"/>
      <c r="AY4" s="98"/>
      <c r="AZ4" s="110"/>
    </row>
    <row r="5" spans="2:52" ht="18.399999999999999" customHeight="1" thickTop="1" thickBot="1">
      <c r="B5" s="110"/>
      <c r="C5" s="105"/>
      <c r="D5" s="295"/>
      <c r="E5" s="295"/>
      <c r="F5" s="105"/>
      <c r="G5" s="303" t="s">
        <v>70</v>
      </c>
      <c r="H5" s="304"/>
      <c r="I5" s="304"/>
      <c r="J5" s="304"/>
      <c r="K5" s="105"/>
      <c r="L5" s="109" t="s">
        <v>153</v>
      </c>
      <c r="M5" s="109" t="s">
        <v>153</v>
      </c>
      <c r="N5" s="109" t="s">
        <v>153</v>
      </c>
      <c r="O5" s="87"/>
      <c r="P5" s="87"/>
      <c r="Q5" s="105"/>
      <c r="R5" s="109" t="s">
        <v>153</v>
      </c>
      <c r="S5" s="105"/>
      <c r="T5" s="105"/>
      <c r="U5" s="105"/>
      <c r="V5" s="109" t="s">
        <v>153</v>
      </c>
      <c r="W5" s="107" t="s">
        <v>153</v>
      </c>
      <c r="X5" s="109" t="s">
        <v>153</v>
      </c>
      <c r="Y5" s="109" t="s">
        <v>153</v>
      </c>
      <c r="Z5" s="109" t="s">
        <v>153</v>
      </c>
      <c r="AA5" s="109" t="s">
        <v>153</v>
      </c>
      <c r="AB5" s="220" t="s">
        <v>153</v>
      </c>
      <c r="AC5" s="82"/>
      <c r="AD5" s="105"/>
      <c r="AE5" s="105"/>
      <c r="AF5" s="83"/>
      <c r="AG5" s="85"/>
      <c r="AH5" s="85"/>
      <c r="AI5" s="88"/>
      <c r="AJ5" s="88"/>
      <c r="AK5" s="88"/>
      <c r="AL5" s="88"/>
      <c r="AM5" s="88"/>
      <c r="AN5" s="88"/>
      <c r="AO5" s="83"/>
      <c r="AP5" s="83"/>
      <c r="AQ5" s="83"/>
      <c r="AR5" s="83"/>
      <c r="AS5" s="83"/>
      <c r="AT5" s="83"/>
      <c r="AU5" s="83"/>
      <c r="AV5" s="83"/>
      <c r="AW5" s="83"/>
      <c r="AX5" s="98"/>
      <c r="AY5" s="83"/>
      <c r="AZ5" s="110"/>
    </row>
    <row r="6" spans="2:52" ht="79.5" thickBot="1">
      <c r="B6" s="110"/>
      <c r="C6" s="105"/>
      <c r="D6" s="293" t="str">
        <f>"Note: First STIG in list is '"&amp;(D12)&amp;"'  so make sure you're scrolled to the top!"</f>
        <v>Note: First STIG in list is 'Active Directory Domain'  so make sure you're scrolled to the top!</v>
      </c>
      <c r="E6" s="293"/>
      <c r="F6" s="105"/>
      <c r="G6" s="160" t="s">
        <v>146</v>
      </c>
      <c r="H6" s="161" t="s">
        <v>148</v>
      </c>
      <c r="I6" s="162" t="s">
        <v>147</v>
      </c>
      <c r="J6" s="172" t="s">
        <v>151</v>
      </c>
      <c r="K6" s="173" t="s">
        <v>6</v>
      </c>
      <c r="L6" s="167" t="s">
        <v>154</v>
      </c>
      <c r="M6" s="167" t="s">
        <v>155</v>
      </c>
      <c r="N6" s="167" t="s">
        <v>156</v>
      </c>
      <c r="O6" s="167" t="s">
        <v>103</v>
      </c>
      <c r="P6" s="167" t="s">
        <v>126</v>
      </c>
      <c r="Q6" s="174" t="s">
        <v>59</v>
      </c>
      <c r="R6" s="192" t="s">
        <v>157</v>
      </c>
      <c r="S6" s="193" t="s">
        <v>104</v>
      </c>
      <c r="T6" s="193" t="s">
        <v>128</v>
      </c>
      <c r="U6" s="229" t="s">
        <v>60</v>
      </c>
      <c r="V6" s="225" t="s">
        <v>119</v>
      </c>
      <c r="W6" s="193" t="s">
        <v>139</v>
      </c>
      <c r="X6" s="193" t="s">
        <v>120</v>
      </c>
      <c r="Y6" s="193" t="s">
        <v>121</v>
      </c>
      <c r="Z6" s="193" t="s">
        <v>122</v>
      </c>
      <c r="AA6" s="193" t="s">
        <v>140</v>
      </c>
      <c r="AB6" s="221" t="s">
        <v>123</v>
      </c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105"/>
      <c r="AY6" s="239"/>
      <c r="AZ6" s="110"/>
    </row>
    <row r="7" spans="2:52" ht="37.5" customHeight="1" thickTop="1">
      <c r="B7" s="110"/>
      <c r="C7" s="111"/>
      <c r="D7" s="214" t="s">
        <v>1</v>
      </c>
      <c r="E7" s="215">
        <v>126</v>
      </c>
      <c r="F7" s="111"/>
      <c r="G7" s="308">
        <f t="shared" ref="G7:Q7" si="0">SUM(G12:G117)</f>
        <v>71967.299999999988</v>
      </c>
      <c r="H7" s="311">
        <f t="shared" si="0"/>
        <v>9067879.8000000026</v>
      </c>
      <c r="I7" s="314">
        <f t="shared" si="0"/>
        <v>45234.600000000006</v>
      </c>
      <c r="J7" s="317">
        <f t="shared" si="0"/>
        <v>5699559.6000000015</v>
      </c>
      <c r="K7" s="175">
        <f t="shared" si="0"/>
        <v>1540144</v>
      </c>
      <c r="L7" s="168">
        <f t="shared" si="0"/>
        <v>1266612</v>
      </c>
      <c r="M7" s="168">
        <f t="shared" si="0"/>
        <v>1355721</v>
      </c>
      <c r="N7" s="168">
        <f t="shared" si="0"/>
        <v>1506503</v>
      </c>
      <c r="O7" s="168">
        <f t="shared" si="0"/>
        <v>273532</v>
      </c>
      <c r="P7" s="168">
        <f t="shared" si="0"/>
        <v>184423</v>
      </c>
      <c r="Q7" s="176">
        <f t="shared" si="0"/>
        <v>33641</v>
      </c>
      <c r="R7" s="194" t="str">
        <f>FLOOR($AC118*3,1)&amp;" Days"&amp;TEXT(SUM($AC118-TIME(8,0,0)*FLOOR($AC118*3,1))," h")&amp;" Hrs"</f>
        <v>14438 Days 6 Hrs</v>
      </c>
      <c r="S7" s="195" t="str">
        <f>FLOOR($AD118*3,1)&amp;" Days"&amp;TEXT(SUM($AD118-TIME(8,0,0)*FLOOR($AD118*3,1))," h")&amp;" Hrs"</f>
        <v>2564 Days 2 Hrs</v>
      </c>
      <c r="T7" s="195" t="str">
        <f>FLOOR($AE118*3,1)&amp;" Days"&amp;TEXT(SUM($AE118-TIME(8,0,0)*FLOOR($AE118*3,1))," h")&amp;" Hrs"</f>
        <v>1728 Days 7 Hrs</v>
      </c>
      <c r="U7" s="230" t="str">
        <f>FLOOR($AF118*3,1)&amp;" Days"&amp;TEXT(SUM($AF118-TIME(8,0,0)*FLOOR($AF118*3,1))," h")&amp;" Hrs"</f>
        <v>315 Days 3 Hrs</v>
      </c>
      <c r="V7" s="226">
        <f>((((SUM($E12:$E117)/$AJ118)-((SUM($E12:$E117)/$AI118))))/((SUM($E12:$E117)/$AI118)))</f>
        <v>4.6214695726865918</v>
      </c>
      <c r="W7" s="203">
        <f>((((SUM($E12:$E117)/$AK118)-((SUM($E12:$E117)/$AI118))))/((SUM($E12:$E117)/$AI118)))</f>
        <v>7.3331455645178263</v>
      </c>
      <c r="X7" s="203">
        <f>((((SUM($E12:$E117)/$AL118)-((SUM($E12:$E117)/$AI118))))/((SUM($E12:$E117)/$AI118)))</f>
        <v>42.165874120647608</v>
      </c>
      <c r="Y7" s="204">
        <f>SUM(Y12:Y117)</f>
        <v>14554360.799999997</v>
      </c>
      <c r="Z7" s="204">
        <f>SUM(Z12:Z117)</f>
        <v>2584877.4000000008</v>
      </c>
      <c r="AA7" s="204">
        <f>SUM(AA12:AA117)</f>
        <v>1742797.3500000003</v>
      </c>
      <c r="AB7" s="222">
        <f>SUM(AB12:AB117)</f>
        <v>317907.45</v>
      </c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105"/>
      <c r="AY7" s="239"/>
      <c r="AZ7" s="110"/>
    </row>
    <row r="8" spans="2:52" ht="18.75" customHeight="1">
      <c r="B8" s="110"/>
      <c r="C8" s="111"/>
      <c r="D8" s="299" t="s">
        <v>2</v>
      </c>
      <c r="E8" s="301">
        <v>4.5</v>
      </c>
      <c r="F8" s="95"/>
      <c r="G8" s="309"/>
      <c r="H8" s="312"/>
      <c r="I8" s="315"/>
      <c r="J8" s="318"/>
      <c r="K8" s="177"/>
      <c r="L8" s="169"/>
      <c r="M8" s="169"/>
      <c r="N8" s="169"/>
      <c r="O8" s="244" t="s">
        <v>162</v>
      </c>
      <c r="P8" s="245" t="s">
        <v>162</v>
      </c>
      <c r="Q8" s="246" t="s">
        <v>162</v>
      </c>
      <c r="R8" s="196"/>
      <c r="S8" s="197"/>
      <c r="T8" s="197"/>
      <c r="U8" s="231"/>
      <c r="V8" s="227"/>
      <c r="W8" s="197"/>
      <c r="X8" s="197"/>
      <c r="Y8" s="205"/>
      <c r="Z8" s="205"/>
      <c r="AA8" s="205"/>
      <c r="AB8" s="223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105"/>
      <c r="AT8" s="82"/>
      <c r="AU8" s="82"/>
      <c r="AV8" s="82"/>
      <c r="AW8" s="82"/>
      <c r="AX8" s="105"/>
      <c r="AY8" s="239"/>
      <c r="AZ8" s="110"/>
    </row>
    <row r="9" spans="2:52" ht="18.75" customHeight="1" thickBot="1">
      <c r="B9" s="110"/>
      <c r="C9" s="111"/>
      <c r="D9" s="300"/>
      <c r="E9" s="302"/>
      <c r="F9" s="95"/>
      <c r="G9" s="310"/>
      <c r="H9" s="313"/>
      <c r="I9" s="316"/>
      <c r="J9" s="319"/>
      <c r="K9" s="178"/>
      <c r="L9" s="170"/>
      <c r="M9" s="170"/>
      <c r="N9" s="170"/>
      <c r="O9" s="171">
        <f>$L7/$K7</f>
        <v>0.82239842508232996</v>
      </c>
      <c r="P9" s="171">
        <f>$M7/$K7</f>
        <v>0.88025600203617327</v>
      </c>
      <c r="Q9" s="179">
        <f>$N7/$K7</f>
        <v>0.97815723724534853</v>
      </c>
      <c r="R9" s="198"/>
      <c r="S9" s="199"/>
      <c r="T9" s="199"/>
      <c r="U9" s="232"/>
      <c r="V9" s="228"/>
      <c r="W9" s="199"/>
      <c r="X9" s="199"/>
      <c r="Y9" s="206"/>
      <c r="Z9" s="206"/>
      <c r="AA9" s="206"/>
      <c r="AB9" s="224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105"/>
      <c r="AT9" s="82"/>
      <c r="AU9" s="82"/>
      <c r="AV9" s="82"/>
      <c r="AW9" s="82"/>
      <c r="AX9" s="127"/>
      <c r="AY9" s="239"/>
      <c r="AZ9" s="110"/>
    </row>
    <row r="10" spans="2:52" ht="15" customHeight="1" thickTop="1" thickBot="1">
      <c r="B10" s="110"/>
      <c r="C10" s="111"/>
      <c r="D10" s="291"/>
      <c r="E10" s="292"/>
      <c r="F10" s="96"/>
      <c r="G10" s="111"/>
      <c r="H10" s="111"/>
      <c r="I10" s="111"/>
      <c r="J10" s="93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296" t="s">
        <v>53</v>
      </c>
      <c r="AD10" s="297"/>
      <c r="AE10" s="297"/>
      <c r="AF10" s="297"/>
      <c r="AG10" s="297"/>
      <c r="AH10" s="298"/>
      <c r="AI10" s="287" t="s">
        <v>56</v>
      </c>
      <c r="AJ10" s="287"/>
      <c r="AK10" s="287"/>
      <c r="AL10" s="287"/>
      <c r="AM10" s="100"/>
      <c r="AN10" s="287" t="s">
        <v>76</v>
      </c>
      <c r="AO10" s="287"/>
      <c r="AP10" s="287"/>
      <c r="AQ10" s="288"/>
      <c r="AR10" s="288"/>
      <c r="AS10" s="101"/>
      <c r="AT10" s="287" t="s">
        <v>75</v>
      </c>
      <c r="AU10" s="287"/>
      <c r="AV10" s="287"/>
      <c r="AW10" s="288"/>
      <c r="AX10" s="289"/>
      <c r="AY10" s="94"/>
      <c r="AZ10" s="110"/>
    </row>
    <row r="11" spans="2:52" s="42" customFormat="1" ht="47.65" customHeight="1" thickBot="1">
      <c r="B11" s="110"/>
      <c r="C11" s="111"/>
      <c r="D11" s="216" t="s">
        <v>3</v>
      </c>
      <c r="E11" s="217" t="s">
        <v>4</v>
      </c>
      <c r="F11" s="120" t="s">
        <v>0</v>
      </c>
      <c r="G11" s="131" t="s">
        <v>141</v>
      </c>
      <c r="H11" s="132" t="s">
        <v>149</v>
      </c>
      <c r="I11" s="133" t="s">
        <v>145</v>
      </c>
      <c r="J11" s="180" t="s">
        <v>150</v>
      </c>
      <c r="K11" s="184" t="s">
        <v>161</v>
      </c>
      <c r="L11" s="136" t="s">
        <v>107</v>
      </c>
      <c r="M11" s="136" t="s">
        <v>125</v>
      </c>
      <c r="N11" s="136" t="s">
        <v>74</v>
      </c>
      <c r="O11" s="136" t="s">
        <v>105</v>
      </c>
      <c r="P11" s="136" t="s">
        <v>127</v>
      </c>
      <c r="Q11" s="137" t="s">
        <v>5</v>
      </c>
      <c r="R11" s="143" t="s">
        <v>44</v>
      </c>
      <c r="S11" s="144" t="s">
        <v>106</v>
      </c>
      <c r="T11" s="144" t="s">
        <v>143</v>
      </c>
      <c r="U11" s="234" t="s">
        <v>58</v>
      </c>
      <c r="V11" s="145" t="s">
        <v>108</v>
      </c>
      <c r="W11" s="144" t="s">
        <v>144</v>
      </c>
      <c r="X11" s="144" t="s">
        <v>55</v>
      </c>
      <c r="Y11" s="144" t="s">
        <v>42</v>
      </c>
      <c r="Z11" s="144" t="s">
        <v>109</v>
      </c>
      <c r="AA11" s="144" t="s">
        <v>142</v>
      </c>
      <c r="AB11" s="144" t="s">
        <v>43</v>
      </c>
      <c r="AC11" s="43" t="s">
        <v>51</v>
      </c>
      <c r="AD11" s="44" t="s">
        <v>110</v>
      </c>
      <c r="AE11" s="44" t="s">
        <v>137</v>
      </c>
      <c r="AF11" s="44" t="s">
        <v>52</v>
      </c>
      <c r="AG11" s="44" t="s">
        <v>111</v>
      </c>
      <c r="AH11" s="44" t="s">
        <v>136</v>
      </c>
      <c r="AI11" s="44" t="s">
        <v>57</v>
      </c>
      <c r="AJ11" s="44" t="s">
        <v>101</v>
      </c>
      <c r="AK11" s="44" t="s">
        <v>138</v>
      </c>
      <c r="AL11" s="44" t="s">
        <v>50</v>
      </c>
      <c r="AM11" s="111"/>
      <c r="AN11" s="45"/>
      <c r="AO11" s="150" t="s">
        <v>45</v>
      </c>
      <c r="AP11" s="150" t="s">
        <v>46</v>
      </c>
      <c r="AQ11" s="150" t="s">
        <v>47</v>
      </c>
      <c r="AR11" s="150" t="s">
        <v>48</v>
      </c>
      <c r="AS11" s="99"/>
      <c r="AT11" s="45"/>
      <c r="AU11" s="150" t="s">
        <v>45</v>
      </c>
      <c r="AV11" s="150" t="s">
        <v>46</v>
      </c>
      <c r="AW11" s="150" t="s">
        <v>47</v>
      </c>
      <c r="AX11" s="126" t="s">
        <v>48</v>
      </c>
      <c r="AY11" s="240"/>
      <c r="AZ11" s="110"/>
    </row>
    <row r="12" spans="2:52" ht="39.950000000000003" customHeight="1">
      <c r="B12" s="110"/>
      <c r="C12" s="111"/>
      <c r="D12" s="277" t="str">
        <f>(STIG_Metrics!A12)</f>
        <v>Active Directory Domain</v>
      </c>
      <c r="E12" s="218">
        <v>1</v>
      </c>
      <c r="F12" s="121"/>
      <c r="G12" s="128">
        <f t="shared" ref="G12:G52" si="1">IF(E12=0,"",(AG12*24)*4)</f>
        <v>6</v>
      </c>
      <c r="H12" s="129">
        <f>IF(E12=0,"",PRODUCT($G12,$E$7))</f>
        <v>756</v>
      </c>
      <c r="I12" s="130">
        <f t="shared" ref="I12:I52" si="2">IF(E12=0,"",(AH12*24)*4)</f>
        <v>6</v>
      </c>
      <c r="J12" s="181">
        <f>IF(E12=0,"",PRODUCT($I12,$E$7))</f>
        <v>756</v>
      </c>
      <c r="K12" s="185">
        <f>IF($E12=0,"",(STIG_Metrics!E12)*$E12)</f>
        <v>36</v>
      </c>
      <c r="L12" s="134">
        <f>IF($E12=0,"",(STIG_Metrics!F12)*$E12)</f>
        <v>0</v>
      </c>
      <c r="M12" s="134">
        <f>IF($E12=0,"",(STIG_Metrics!G12)*$E12)</f>
        <v>0</v>
      </c>
      <c r="N12" s="134">
        <f>IF($E12=0,"",(STIG_Metrics!H12)*$E12)</f>
        <v>20</v>
      </c>
      <c r="O12" s="134">
        <f>IF($E12=0,"",(STIG_Metrics!E12-STIG_Metrics!F12)*$E12)</f>
        <v>36</v>
      </c>
      <c r="P12" s="134">
        <f>IF($E12=0,"",(STIG_Metrics!E12-STIG_Metrics!G12)*$E12)</f>
        <v>36</v>
      </c>
      <c r="Q12" s="135">
        <f>IF($E12=0,"",(STIG_Metrics!E12-STIG_Metrics!H12)*$E12)</f>
        <v>16</v>
      </c>
      <c r="R12" s="138" t="str">
        <f t="shared" ref="R12:R52" si="3">IF($E12=0,"",FLOOR($AC12*3,1)&amp;" Days"&amp;TEXT(SUM($AC12-TIME(8,0,0)*FLOOR($AC12*3,1))," h")&amp;" Hrs")</f>
        <v>0 Days 2 Hrs</v>
      </c>
      <c r="S12" s="139" t="str">
        <f t="shared" ref="S12:S52" si="4">IF($E12=0,"",FLOOR($AD12*3,1)&amp;" Days"&amp;TEXT(SUM($AD12-TIME(8,0,0)*FLOOR($AD12*3,1))," h")&amp;" Hrs")</f>
        <v>0 Days 2 Hrs</v>
      </c>
      <c r="T12" s="139" t="str">
        <f t="shared" ref="T12:T52" si="5">IF($E12=0,"",FLOOR($AE12*3,1)&amp;" Days"&amp;TEXT(SUM($AE12-TIME(8,0,0)*FLOOR($AE12*3,1))," h")&amp;" Hrs")</f>
        <v>0 Days 2 Hrs</v>
      </c>
      <c r="U12" s="235" t="str">
        <f t="shared" ref="U12:U52" si="6">IF($E12=0,"",FLOOR($AF12*3,1)&amp; " Days"&amp;TEXT(SUM($AF12-TIME(8,0,0)*FLOOR($AF12*3,1))," h") &amp; " Hrs")</f>
        <v>0 Days 1 Hrs</v>
      </c>
      <c r="V12" s="140">
        <f>IF($E12=0,"",STIG_Metrics!R12)</f>
        <v>0</v>
      </c>
      <c r="W12" s="141">
        <f>IF($E12=0,"",STIG_Metrics!S12)</f>
        <v>0</v>
      </c>
      <c r="X12" s="141">
        <f>IF($E12=0,"",STIG_Metrics!T12)</f>
        <v>1.2500000000000002</v>
      </c>
      <c r="Y12" s="142">
        <f t="shared" ref="Y12:Y52" si="7">IF($E12=0,"",((K12*$E$8/60)*$E$7))</f>
        <v>340.20000000000005</v>
      </c>
      <c r="Z12" s="142">
        <f>IF($E12=0,"",((O12*$E$8/60)*$E$7))</f>
        <v>340.20000000000005</v>
      </c>
      <c r="AA12" s="142">
        <f>IF($E12=0,"",((P12*$E$8/60)*$E$7))</f>
        <v>340.20000000000005</v>
      </c>
      <c r="AB12" s="142">
        <f>IF($E12=0,"",((Q12*$E$8/60)*$E$7))</f>
        <v>151.19999999999999</v>
      </c>
      <c r="AC12" s="207">
        <f>IF($E12=0,"",IF(STIG_Metrics!N12=60,0,($E12/STIG_Metrics!N12)/24))</f>
        <v>0.1125</v>
      </c>
      <c r="AD12" s="146">
        <f>IF($E12=0,"",IF(STIG_Metrics!O12=60,0,($E12/STIG_Metrics!O12)/24))</f>
        <v>0.1125</v>
      </c>
      <c r="AE12" s="146">
        <f>IF($E12=0,"",IF(STIG_Metrics!P12=60,0,($E12/STIG_Metrics!P12)/24))</f>
        <v>0.1125</v>
      </c>
      <c r="AF12" s="146">
        <f>IF($E12=0,"",IF(STIG_Metrics!Q12=60,0,($E12/STIG_Metrics!Q12)/24))</f>
        <v>4.9999999999999996E-2</v>
      </c>
      <c r="AG12" s="146">
        <f t="shared" ref="AG12:AG52" si="8">IF($E12=0,"",$AD12-$AF12)</f>
        <v>6.25E-2</v>
      </c>
      <c r="AH12" s="146">
        <f t="shared" ref="AH12:AH52" si="9">IF($E12=0,"",$AE12-$AF12)</f>
        <v>6.25E-2</v>
      </c>
      <c r="AI12" s="147">
        <f>IF($E12=0,"",$E12/STIG_Metrics!N12)</f>
        <v>2.7</v>
      </c>
      <c r="AJ12" s="147">
        <f>IF($E12=0,"",$E12/STIG_Metrics!O12)</f>
        <v>2.7</v>
      </c>
      <c r="AK12" s="147">
        <f>IF($E12=0,"",$E12/STIG_Metrics!P12)</f>
        <v>2.7</v>
      </c>
      <c r="AL12" s="147">
        <f>IF($E12=0,"",$E12/STIG_Metrics!Q12)</f>
        <v>1.2</v>
      </c>
      <c r="AM12" s="97"/>
      <c r="AN12" s="51" t="s">
        <v>49</v>
      </c>
      <c r="AO12" s="52">
        <f>$Y$7</f>
        <v>14554360.799999997</v>
      </c>
      <c r="AP12" s="52">
        <f>$Y$7*2</f>
        <v>29108721.599999994</v>
      </c>
      <c r="AQ12" s="52">
        <f>$Y$7*3</f>
        <v>43663082.399999991</v>
      </c>
      <c r="AR12" s="52">
        <f>$Y$7*4</f>
        <v>58217443.199999988</v>
      </c>
      <c r="AS12" s="98"/>
      <c r="AT12" s="51" t="s">
        <v>101</v>
      </c>
      <c r="AU12" s="52">
        <f>$AO$12-$AO$13</f>
        <v>11969483.399999997</v>
      </c>
      <c r="AV12" s="52">
        <f>($AO$12-$AO$13)*2</f>
        <v>23938966.799999993</v>
      </c>
      <c r="AW12" s="52">
        <f>($AO$12-$AO$13)*3</f>
        <v>35908450.199999988</v>
      </c>
      <c r="AX12" s="116">
        <f>($AO$12-$AO$13)*4</f>
        <v>47877933.599999987</v>
      </c>
      <c r="AY12" s="241"/>
      <c r="AZ12" s="110"/>
    </row>
    <row r="13" spans="2:52" ht="39.950000000000003" customHeight="1">
      <c r="B13" s="110"/>
      <c r="C13" s="111"/>
      <c r="D13" s="277" t="str">
        <f>(STIG_Metrics!A13)</f>
        <v>Active Directory Forest</v>
      </c>
      <c r="E13" s="218">
        <v>1</v>
      </c>
      <c r="F13" s="121"/>
      <c r="G13" s="118">
        <f t="shared" si="1"/>
        <v>0.90000000000000036</v>
      </c>
      <c r="H13" s="122">
        <f t="shared" ref="H13:H88" si="10">IF(E13=0,"",PRODUCT($G13,$E$7))</f>
        <v>113.40000000000005</v>
      </c>
      <c r="I13" s="123">
        <f t="shared" si="2"/>
        <v>0.90000000000000036</v>
      </c>
      <c r="J13" s="182">
        <f t="shared" ref="J13:J88" si="11">IF(E13=0,"",PRODUCT($I13,$E$7))</f>
        <v>113.40000000000005</v>
      </c>
      <c r="K13" s="186">
        <f>IF($E13=0,"",(STIG_Metrics!E13)*$E13)</f>
        <v>7</v>
      </c>
      <c r="L13" s="47">
        <f>IF($E13=0,"",(STIG_Metrics!F13)*$E13)</f>
        <v>0</v>
      </c>
      <c r="M13" s="47">
        <f>IF($E13=0,"",(STIG_Metrics!G13)*$E13)</f>
        <v>0</v>
      </c>
      <c r="N13" s="47">
        <f>IF($E13=0,"",(STIG_Metrics!H13)*$E13)</f>
        <v>3</v>
      </c>
      <c r="O13" s="47">
        <f>IF($E13=0,"",(STIG_Metrics!E13-STIG_Metrics!F13)*$E13)</f>
        <v>7</v>
      </c>
      <c r="P13" s="47">
        <f>IF($E13=0,"",(STIG_Metrics!E13-STIG_Metrics!G13)*$E13)</f>
        <v>7</v>
      </c>
      <c r="Q13" s="112">
        <f>IF($E13=0,"",(STIG_Metrics!E13-STIG_Metrics!H13)*$E13)</f>
        <v>4</v>
      </c>
      <c r="R13" s="113" t="str">
        <f t="shared" si="3"/>
        <v>0 Days 0 Hrs</v>
      </c>
      <c r="S13" s="48" t="str">
        <f t="shared" si="4"/>
        <v>0 Days 0 Hrs</v>
      </c>
      <c r="T13" s="48" t="str">
        <f t="shared" si="5"/>
        <v>0 Days 0 Hrs</v>
      </c>
      <c r="U13" s="236" t="str">
        <f t="shared" si="6"/>
        <v>0 Days 0 Hrs</v>
      </c>
      <c r="V13" s="124">
        <f>IF($E13=0,"",STIG_Metrics!R13)</f>
        <v>0</v>
      </c>
      <c r="W13" s="49">
        <f>IF($E13=0,"",STIG_Metrics!S13)</f>
        <v>0</v>
      </c>
      <c r="X13" s="49">
        <f>IF($E13=0,"",STIG_Metrics!T13)</f>
        <v>0.75000000000000022</v>
      </c>
      <c r="Y13" s="50">
        <f t="shared" si="7"/>
        <v>66.150000000000006</v>
      </c>
      <c r="Z13" s="50">
        <f t="shared" ref="Z13:Z53" si="12">IF($E13=0,"",((O13*$E$8/60)*$E$7))</f>
        <v>66.150000000000006</v>
      </c>
      <c r="AA13" s="50">
        <f t="shared" ref="AA13:AA88" si="13">IF($E13=0,"",((P13*$E$8/60)*$E$7))</f>
        <v>66.150000000000006</v>
      </c>
      <c r="AB13" s="50">
        <f t="shared" ref="AB13:AB53" si="14">IF($E13=0,"",((Q13*$E$8/60)*$E$7))</f>
        <v>37.799999999999997</v>
      </c>
      <c r="AC13" s="207">
        <f>IF($E13=0,"",IF(STIG_Metrics!N13=60,0,($E13/STIG_Metrics!N13)/24))</f>
        <v>2.1875000000000002E-2</v>
      </c>
      <c r="AD13" s="146">
        <f>IF($E13=0,"",IF(STIG_Metrics!O13=60,0,($E13/STIG_Metrics!O13)/24))</f>
        <v>2.1875000000000002E-2</v>
      </c>
      <c r="AE13" s="146">
        <f>IF($E13=0,"",IF(STIG_Metrics!P13=60,0,($E13/STIG_Metrics!P13)/24))</f>
        <v>2.1875000000000002E-2</v>
      </c>
      <c r="AF13" s="146">
        <f>IF($E13=0,"",IF(STIG_Metrics!Q13=60,0,($E13/STIG_Metrics!Q13)/24))</f>
        <v>1.2499999999999999E-2</v>
      </c>
      <c r="AG13" s="146">
        <f t="shared" si="8"/>
        <v>9.3750000000000031E-3</v>
      </c>
      <c r="AH13" s="146">
        <f t="shared" si="9"/>
        <v>9.3750000000000031E-3</v>
      </c>
      <c r="AI13" s="147">
        <f>IF($E13=0,"",$E13/STIG_Metrics!N13)</f>
        <v>0.52500000000000002</v>
      </c>
      <c r="AJ13" s="147">
        <f>IF($E13=0,"",$E13/STIG_Metrics!O13)</f>
        <v>0.52500000000000002</v>
      </c>
      <c r="AK13" s="147">
        <f>IF($E13=0,"",$E13/STIG_Metrics!P13)</f>
        <v>0.52500000000000002</v>
      </c>
      <c r="AL13" s="147">
        <f>IF($E13=0,"",$E13/STIG_Metrics!Q13)</f>
        <v>0.3</v>
      </c>
      <c r="AM13" s="97"/>
      <c r="AN13" s="51" t="s">
        <v>101</v>
      </c>
      <c r="AO13" s="52">
        <f>$Z$7</f>
        <v>2584877.4000000008</v>
      </c>
      <c r="AP13" s="52">
        <f>$Z$7*2</f>
        <v>5169754.8000000017</v>
      </c>
      <c r="AQ13" s="52">
        <f>$Z$7*3</f>
        <v>7754632.200000003</v>
      </c>
      <c r="AR13" s="52">
        <f>$Z$7*4</f>
        <v>10339509.600000003</v>
      </c>
      <c r="AS13" s="98"/>
      <c r="AT13" s="45" t="s">
        <v>138</v>
      </c>
      <c r="AU13" s="52">
        <f>$AO$12-$AO$14</f>
        <v>12811563.449999997</v>
      </c>
      <c r="AV13" s="52">
        <f>($AO$12-$AO$14)*2</f>
        <v>25623126.899999995</v>
      </c>
      <c r="AW13" s="52">
        <f>($AO$12-$AO$14)*3</f>
        <v>38434690.349999994</v>
      </c>
      <c r="AX13" s="116">
        <f>($AO$12-$AO$14)*4</f>
        <v>51246253.79999999</v>
      </c>
      <c r="AY13" s="242"/>
      <c r="AZ13" s="110"/>
    </row>
    <row r="14" spans="2:52" ht="39.950000000000003" customHeight="1">
      <c r="B14" s="110"/>
      <c r="C14" s="111"/>
      <c r="D14" s="277" t="str">
        <f>(STIG_Metrics!A14)</f>
        <v>Adobe Acrobat Pro XI</v>
      </c>
      <c r="E14" s="218">
        <v>0</v>
      </c>
      <c r="F14" s="121"/>
      <c r="G14" s="118" t="str">
        <f t="shared" si="1"/>
        <v/>
      </c>
      <c r="H14" s="122" t="str">
        <f t="shared" si="10"/>
        <v/>
      </c>
      <c r="I14" s="123" t="str">
        <f t="shared" si="2"/>
        <v/>
      </c>
      <c r="J14" s="182" t="str">
        <f t="shared" si="11"/>
        <v/>
      </c>
      <c r="K14" s="187" t="str">
        <f>IF($E14=0,"",(STIG_Metrics!E14)*$E14)</f>
        <v/>
      </c>
      <c r="L14" s="31" t="str">
        <f>IF($E14=0,"",(STIG_Metrics!F14)*$E14)</f>
        <v/>
      </c>
      <c r="M14" s="47" t="str">
        <f>IF($E14=0,"",(STIG_Metrics!G14)*$E14)</f>
        <v/>
      </c>
      <c r="N14" s="31" t="str">
        <f>IF($E14=0,"",(STIG_Metrics!H14)*$E14)</f>
        <v/>
      </c>
      <c r="O14" s="31" t="str">
        <f>IF($E14=0,"",(STIG_Metrics!E14-STIG_Metrics!F14)*$E14)</f>
        <v/>
      </c>
      <c r="P14" s="47" t="str">
        <f>IF($E14=0,"",(STIG_Metrics!E14-STIG_Metrics!G14)*$E14)</f>
        <v/>
      </c>
      <c r="Q14" s="114" t="str">
        <f>IF($E14=0,"",(STIG_Metrics!E14-STIG_Metrics!H14)*$E14)</f>
        <v/>
      </c>
      <c r="R14" s="115" t="str">
        <f t="shared" si="3"/>
        <v/>
      </c>
      <c r="S14" s="32" t="str">
        <f t="shared" si="4"/>
        <v/>
      </c>
      <c r="T14" s="48" t="str">
        <f t="shared" si="5"/>
        <v/>
      </c>
      <c r="U14" s="237" t="str">
        <f t="shared" si="6"/>
        <v/>
      </c>
      <c r="V14" s="125" t="str">
        <f>IF($E14=0,"",STIG_Metrics!R14)</f>
        <v/>
      </c>
      <c r="W14" s="49" t="str">
        <f>IF($E14=0,"",STIG_Metrics!S14)</f>
        <v/>
      </c>
      <c r="X14" s="33" t="str">
        <f>IF($E14=0,"",STIG_Metrics!T14)</f>
        <v/>
      </c>
      <c r="Y14" s="34" t="str">
        <f t="shared" si="7"/>
        <v/>
      </c>
      <c r="Z14" s="34" t="str">
        <f t="shared" si="12"/>
        <v/>
      </c>
      <c r="AA14" s="50" t="str">
        <f t="shared" si="13"/>
        <v/>
      </c>
      <c r="AB14" s="34" t="str">
        <f t="shared" si="14"/>
        <v/>
      </c>
      <c r="AC14" s="207" t="str">
        <f>IF($E14=0,"",IF(STIG_Metrics!N14=60,0,($E14/STIG_Metrics!N14)/24))</f>
        <v/>
      </c>
      <c r="AD14" s="146" t="str">
        <f>IF($E14=0,"",IF(STIG_Metrics!O14=60,0,($E14/STIG_Metrics!O14)/24))</f>
        <v/>
      </c>
      <c r="AE14" s="146" t="str">
        <f>IF($E14=0,"",IF(STIG_Metrics!P14=60,0,($E14/STIG_Metrics!P14)/24))</f>
        <v/>
      </c>
      <c r="AF14" s="146" t="str">
        <f>IF($E14=0,"",IF(STIG_Metrics!Q14=60,0,($E14/STIG_Metrics!Q14)/24))</f>
        <v/>
      </c>
      <c r="AG14" s="146" t="str">
        <f t="shared" si="8"/>
        <v/>
      </c>
      <c r="AH14" s="146" t="str">
        <f t="shared" si="9"/>
        <v/>
      </c>
      <c r="AI14" s="147" t="str">
        <f>IF($E14=0,"",$E14/STIG_Metrics!N14)</f>
        <v/>
      </c>
      <c r="AJ14" s="147" t="str">
        <f>IF($E14=0,"",$E14/STIG_Metrics!O14)</f>
        <v/>
      </c>
      <c r="AK14" s="147" t="str">
        <f>IF($E14=0,"",$E14/STIG_Metrics!P14)</f>
        <v/>
      </c>
      <c r="AL14" s="147" t="str">
        <f>IF($E14=0,"",$E14/STIG_Metrics!Q14)</f>
        <v/>
      </c>
      <c r="AM14" s="111"/>
      <c r="AN14" s="51" t="s">
        <v>138</v>
      </c>
      <c r="AO14" s="52">
        <f>$AA$7</f>
        <v>1742797.3500000003</v>
      </c>
      <c r="AP14" s="52">
        <f>$AA$7*2</f>
        <v>3485594.7000000007</v>
      </c>
      <c r="AQ14" s="52">
        <f>$AA$7*3</f>
        <v>5228392.0500000007</v>
      </c>
      <c r="AR14" s="52">
        <f>$AA$7*4</f>
        <v>6971189.4000000013</v>
      </c>
      <c r="AS14" s="98"/>
      <c r="AT14" s="45" t="s">
        <v>50</v>
      </c>
      <c r="AU14" s="52">
        <f>$AO$12-$AO$15</f>
        <v>14236453.349999998</v>
      </c>
      <c r="AV14" s="52">
        <f>($AO$12-$AO$15)*2</f>
        <v>28472906.699999996</v>
      </c>
      <c r="AW14" s="52">
        <f>($AO$12-$AO$15)*3</f>
        <v>42709360.049999997</v>
      </c>
      <c r="AX14" s="116">
        <f>($AO$12-$AO$15)*4</f>
        <v>56945813.399999991</v>
      </c>
      <c r="AY14" s="239"/>
      <c r="AZ14" s="110"/>
    </row>
    <row r="15" spans="2:52" ht="39.950000000000003" customHeight="1">
      <c r="B15" s="110"/>
      <c r="C15" s="111"/>
      <c r="D15" s="277" t="str">
        <f>(STIG_Metrics!A15)</f>
        <v>Adobe Acrobat Professional DC Classic Track</v>
      </c>
      <c r="E15" s="218">
        <v>14</v>
      </c>
      <c r="F15" s="121"/>
      <c r="G15" s="118">
        <f t="shared" si="1"/>
        <v>96.6</v>
      </c>
      <c r="H15" s="122">
        <f t="shared" si="10"/>
        <v>12171.599999999999</v>
      </c>
      <c r="I15" s="123">
        <f t="shared" si="2"/>
        <v>96.6</v>
      </c>
      <c r="J15" s="182">
        <f t="shared" si="11"/>
        <v>12171.599999999999</v>
      </c>
      <c r="K15" s="187">
        <f>IF($E15=0,"",(STIG_Metrics!E15)*$E15)</f>
        <v>322</v>
      </c>
      <c r="L15" s="31">
        <f>IF($E15=0,"",(STIG_Metrics!F15)*$E15)</f>
        <v>0</v>
      </c>
      <c r="M15" s="47">
        <f>IF($E15=0,"",(STIG_Metrics!G15)*$E15)</f>
        <v>0</v>
      </c>
      <c r="N15" s="31">
        <f>IF($E15=0,"",(STIG_Metrics!H15)*$E15)</f>
        <v>322</v>
      </c>
      <c r="O15" s="31">
        <f>IF($E15=0,"",(STIG_Metrics!E15-STIG_Metrics!F15)*$E15)</f>
        <v>322</v>
      </c>
      <c r="P15" s="47">
        <f>IF($E15=0,"",(STIG_Metrics!E15-STIG_Metrics!G15)*$E15)</f>
        <v>322</v>
      </c>
      <c r="Q15" s="114">
        <f>IF($E15=0,"",(STIG_Metrics!E15-STIG_Metrics!H15)*$E15)</f>
        <v>0</v>
      </c>
      <c r="R15" s="115" t="str">
        <f t="shared" si="3"/>
        <v>3 Days 0 Hrs</v>
      </c>
      <c r="S15" s="32" t="str">
        <f t="shared" si="4"/>
        <v>3 Days 0 Hrs</v>
      </c>
      <c r="T15" s="48" t="str">
        <f t="shared" si="5"/>
        <v>3 Days 0 Hrs</v>
      </c>
      <c r="U15" s="237" t="str">
        <f t="shared" si="6"/>
        <v>0 Days 0 Hrs</v>
      </c>
      <c r="V15" s="125">
        <f>IF($E15=0,"",STIG_Metrics!R15)</f>
        <v>0</v>
      </c>
      <c r="W15" s="49">
        <f>IF($E15=0,"",STIG_Metrics!S15)</f>
        <v>0</v>
      </c>
      <c r="X15" s="33">
        <f>IF($E15=0,"",STIG_Metrics!T15)</f>
        <v>102.49999999999999</v>
      </c>
      <c r="Y15" s="34">
        <f t="shared" si="7"/>
        <v>3042.8999999999996</v>
      </c>
      <c r="Z15" s="34">
        <f t="shared" si="12"/>
        <v>3042.8999999999996</v>
      </c>
      <c r="AA15" s="50">
        <f t="shared" si="13"/>
        <v>3042.8999999999996</v>
      </c>
      <c r="AB15" s="34">
        <f t="shared" si="14"/>
        <v>0</v>
      </c>
      <c r="AC15" s="208">
        <f>IF($E15=0,"",IF(STIG_Metrics!N15=60,0,($E15/STIG_Metrics!N15)/24))</f>
        <v>1.0062499999999999</v>
      </c>
      <c r="AD15" s="148">
        <f>IF($E15=0,"",IF(STIG_Metrics!O15=60,0,($E15/STIG_Metrics!O15)/24))</f>
        <v>1.0062499999999999</v>
      </c>
      <c r="AE15" s="146">
        <f>IF($E15=0,"",IF(STIG_Metrics!P15=60,0,($E15/STIG_Metrics!P15)/24))</f>
        <v>1.0062499999999999</v>
      </c>
      <c r="AF15" s="148">
        <f>IF($E15=0,"",IF(STIG_Metrics!Q15=60,0,($E15/STIG_Metrics!Q15)/24))</f>
        <v>0</v>
      </c>
      <c r="AG15" s="148">
        <f t="shared" si="8"/>
        <v>1.0062499999999999</v>
      </c>
      <c r="AH15" s="146">
        <f t="shared" si="9"/>
        <v>1.0062499999999999</v>
      </c>
      <c r="AI15" s="149">
        <f>IF($E15=0,"",$E15/STIG_Metrics!N15)</f>
        <v>24.15</v>
      </c>
      <c r="AJ15" s="149">
        <f>IF($E15=0,"",$E15/STIG_Metrics!O15)</f>
        <v>24.15</v>
      </c>
      <c r="AK15" s="147">
        <f>IF($E15=0,"",$E15/STIG_Metrics!P15)</f>
        <v>24.15</v>
      </c>
      <c r="AL15" s="149">
        <f>IF($E15=0,"",$E15/STIG_Metrics!Q15)</f>
        <v>0.23333333333333334</v>
      </c>
      <c r="AM15" s="111"/>
      <c r="AN15" s="45" t="s">
        <v>50</v>
      </c>
      <c r="AO15" s="46">
        <f>$AB$7</f>
        <v>317907.45</v>
      </c>
      <c r="AP15" s="46">
        <f>$AB$7*2</f>
        <v>635814.9</v>
      </c>
      <c r="AQ15" s="46">
        <f>$AB$7*3</f>
        <v>953722.35000000009</v>
      </c>
      <c r="AR15" s="46">
        <f>$AB$7*4</f>
        <v>1271629.8</v>
      </c>
      <c r="AS15" s="98"/>
      <c r="AT15" s="53" t="s">
        <v>112</v>
      </c>
      <c r="AU15" s="54">
        <f>AU14-AU12</f>
        <v>2266969.9500000011</v>
      </c>
      <c r="AV15" s="54">
        <f t="shared" ref="AV15:AX15" si="15">AV14-AV12</f>
        <v>4533939.9000000022</v>
      </c>
      <c r="AW15" s="54">
        <f t="shared" si="15"/>
        <v>6800909.8500000089</v>
      </c>
      <c r="AX15" s="117">
        <f t="shared" si="15"/>
        <v>9067879.8000000045</v>
      </c>
      <c r="AY15" s="239"/>
      <c r="AZ15" s="110"/>
    </row>
    <row r="16" spans="2:52" ht="39.950000000000003" customHeight="1">
      <c r="B16" s="110"/>
      <c r="C16" s="111"/>
      <c r="D16" s="277" t="str">
        <f>(STIG_Metrics!A16)</f>
        <v>Adobe Acrobat Professional DC Continuous Track</v>
      </c>
      <c r="E16" s="218">
        <v>165</v>
      </c>
      <c r="F16" s="121"/>
      <c r="G16" s="118">
        <f t="shared" si="1"/>
        <v>1089</v>
      </c>
      <c r="H16" s="122">
        <f t="shared" si="10"/>
        <v>137214</v>
      </c>
      <c r="I16" s="123">
        <f t="shared" si="2"/>
        <v>1089</v>
      </c>
      <c r="J16" s="182">
        <f t="shared" si="11"/>
        <v>137214</v>
      </c>
      <c r="K16" s="187">
        <f>IF($E16=0,"",(STIG_Metrics!E16)*$E16)</f>
        <v>3795</v>
      </c>
      <c r="L16" s="31">
        <f>IF($E16=0,"",(STIG_Metrics!F16)*$E16)</f>
        <v>0</v>
      </c>
      <c r="M16" s="47">
        <f>IF($E16=0,"",(STIG_Metrics!G16)*$E16)</f>
        <v>0</v>
      </c>
      <c r="N16" s="31">
        <f>IF($E16=0,"",(STIG_Metrics!H16)*$E16)</f>
        <v>3630</v>
      </c>
      <c r="O16" s="31">
        <f>IF($E16=0,"",(STIG_Metrics!E16-STIG_Metrics!F16)*$E16)</f>
        <v>3795</v>
      </c>
      <c r="P16" s="47">
        <f>IF($E16=0,"",(STIG_Metrics!E16-STIG_Metrics!G16)*$E16)</f>
        <v>3795</v>
      </c>
      <c r="Q16" s="114">
        <f>IF($E16=0,"",(STIG_Metrics!E16-STIG_Metrics!H16)*$E16)</f>
        <v>165</v>
      </c>
      <c r="R16" s="115" t="str">
        <f t="shared" si="3"/>
        <v>35 Days 4 Hrs</v>
      </c>
      <c r="S16" s="32" t="str">
        <f t="shared" si="4"/>
        <v>35 Days 4 Hrs</v>
      </c>
      <c r="T16" s="48" t="str">
        <f t="shared" si="5"/>
        <v>35 Days 4 Hrs</v>
      </c>
      <c r="U16" s="237" t="str">
        <f t="shared" si="6"/>
        <v>1 Days 4 Hrs</v>
      </c>
      <c r="V16" s="125">
        <f>IF($E16=0,"",STIG_Metrics!R16)</f>
        <v>0</v>
      </c>
      <c r="W16" s="49">
        <f>IF($E16=0,"",STIG_Metrics!S16)</f>
        <v>0</v>
      </c>
      <c r="X16" s="33">
        <f>IF($E16=0,"",STIG_Metrics!T16)</f>
        <v>22</v>
      </c>
      <c r="Y16" s="34">
        <f t="shared" si="7"/>
        <v>35862.75</v>
      </c>
      <c r="Z16" s="34">
        <f t="shared" si="12"/>
        <v>35862.75</v>
      </c>
      <c r="AA16" s="50">
        <f t="shared" si="13"/>
        <v>35862.75</v>
      </c>
      <c r="AB16" s="34">
        <f t="shared" si="14"/>
        <v>1559.25</v>
      </c>
      <c r="AC16" s="207">
        <f>IF($E16=0,"",IF(STIG_Metrics!N16=60,0,($E16/STIG_Metrics!N16)/24))</f>
        <v>11.859375</v>
      </c>
      <c r="AD16" s="146">
        <f>IF($E16=0,"",IF(STIG_Metrics!O16=60,0,($E16/STIG_Metrics!O16)/24))</f>
        <v>11.859375</v>
      </c>
      <c r="AE16" s="146">
        <f>IF($E16=0,"",IF(STIG_Metrics!P16=60,0,($E16/STIG_Metrics!P16)/24))</f>
        <v>11.859375</v>
      </c>
      <c r="AF16" s="146">
        <f>IF($E16=0,"",IF(STIG_Metrics!Q16=60,0,($E16/STIG_Metrics!Q16)/24))</f>
        <v>0.515625</v>
      </c>
      <c r="AG16" s="146">
        <f t="shared" si="8"/>
        <v>11.34375</v>
      </c>
      <c r="AH16" s="146">
        <f t="shared" si="9"/>
        <v>11.34375</v>
      </c>
      <c r="AI16" s="147">
        <f>IF($E16=0,"",$E16/STIG_Metrics!N16)</f>
        <v>284.625</v>
      </c>
      <c r="AJ16" s="147">
        <f>IF($E16=0,"",$E16/STIG_Metrics!O16)</f>
        <v>284.625</v>
      </c>
      <c r="AK16" s="147">
        <f>IF($E16=0,"",$E16/STIG_Metrics!P16)</f>
        <v>284.625</v>
      </c>
      <c r="AL16" s="147">
        <f>IF($E16=0,"",$E16/STIG_Metrics!Q16)</f>
        <v>12.375</v>
      </c>
      <c r="AM16" s="111"/>
      <c r="AN16" s="90"/>
      <c r="AO16" s="90"/>
      <c r="AP16" s="90"/>
      <c r="AQ16" s="90"/>
      <c r="AR16" s="90"/>
      <c r="AS16" s="98"/>
      <c r="AT16" s="53" t="s">
        <v>152</v>
      </c>
      <c r="AU16" s="54">
        <f>AU14-AU13</f>
        <v>1424889.9000000004</v>
      </c>
      <c r="AV16" s="54">
        <f t="shared" ref="AV16:AX16" si="16">AV14-AV13</f>
        <v>2849779.8000000007</v>
      </c>
      <c r="AW16" s="54">
        <f t="shared" si="16"/>
        <v>4274669.700000003</v>
      </c>
      <c r="AX16" s="117">
        <f t="shared" si="16"/>
        <v>5699559.6000000015</v>
      </c>
      <c r="AY16" s="239"/>
      <c r="AZ16" s="110"/>
    </row>
    <row r="17" spans="2:52" ht="39.950000000000003" customHeight="1">
      <c r="B17" s="110"/>
      <c r="C17" s="111"/>
      <c r="D17" s="277" t="str">
        <f>(STIG_Metrics!A17)</f>
        <v>Adobe Acrobat Reader DC Classic Track</v>
      </c>
      <c r="E17" s="218">
        <v>0</v>
      </c>
      <c r="F17" s="121"/>
      <c r="G17" s="118" t="str">
        <f t="shared" si="1"/>
        <v/>
      </c>
      <c r="H17" s="122" t="str">
        <f t="shared" si="10"/>
        <v/>
      </c>
      <c r="I17" s="123" t="str">
        <f t="shared" si="2"/>
        <v/>
      </c>
      <c r="J17" s="182" t="str">
        <f t="shared" si="11"/>
        <v/>
      </c>
      <c r="K17" s="187" t="str">
        <f>IF($E17=0,"",(STIG_Metrics!E17)*$E17)</f>
        <v/>
      </c>
      <c r="L17" s="31" t="str">
        <f>IF($E17=0,"",(STIG_Metrics!F17)*$E17)</f>
        <v/>
      </c>
      <c r="M17" s="47" t="str">
        <f>IF($E17=0,"",(STIG_Metrics!G17)*$E17)</f>
        <v/>
      </c>
      <c r="N17" s="31" t="str">
        <f>IF($E17=0,"",(STIG_Metrics!H17)*$E17)</f>
        <v/>
      </c>
      <c r="O17" s="31" t="str">
        <f>IF($E17=0,"",(STIG_Metrics!E17-STIG_Metrics!F17)*$E17)</f>
        <v/>
      </c>
      <c r="P17" s="47" t="str">
        <f>IF($E17=0,"",(STIG_Metrics!E17-STIG_Metrics!G17)*$E17)</f>
        <v/>
      </c>
      <c r="Q17" s="114" t="str">
        <f>IF($E17=0,"",(STIG_Metrics!E17-STIG_Metrics!H17)*$E17)</f>
        <v/>
      </c>
      <c r="R17" s="115" t="str">
        <f t="shared" si="3"/>
        <v/>
      </c>
      <c r="S17" s="32" t="str">
        <f t="shared" si="4"/>
        <v/>
      </c>
      <c r="T17" s="48" t="str">
        <f t="shared" si="5"/>
        <v/>
      </c>
      <c r="U17" s="237" t="str">
        <f t="shared" si="6"/>
        <v/>
      </c>
      <c r="V17" s="125" t="str">
        <f>IF($E17=0,"",STIG_Metrics!R17)</f>
        <v/>
      </c>
      <c r="W17" s="49" t="str">
        <f>IF($E17=0,"",STIG_Metrics!S17)</f>
        <v/>
      </c>
      <c r="X17" s="33" t="str">
        <f>IF($E17=0,"",STIG_Metrics!T17)</f>
        <v/>
      </c>
      <c r="Y17" s="34" t="str">
        <f t="shared" si="7"/>
        <v/>
      </c>
      <c r="Z17" s="34" t="str">
        <f t="shared" si="12"/>
        <v/>
      </c>
      <c r="AA17" s="50" t="str">
        <f t="shared" si="13"/>
        <v/>
      </c>
      <c r="AB17" s="34" t="str">
        <f t="shared" si="14"/>
        <v/>
      </c>
      <c r="AC17" s="208" t="str">
        <f>IF($E17=0,"",IF(STIG_Metrics!N17=60,0,($E17/STIG_Metrics!N17)/24))</f>
        <v/>
      </c>
      <c r="AD17" s="148" t="str">
        <f>IF($E17=0,"",IF(STIG_Metrics!O17=60,0,($E17/STIG_Metrics!O17)/24))</f>
        <v/>
      </c>
      <c r="AE17" s="146" t="str">
        <f>IF($E17=0,"",IF(STIG_Metrics!P17=60,0,($E17/STIG_Metrics!P17)/24))</f>
        <v/>
      </c>
      <c r="AF17" s="148" t="str">
        <f>IF($E17=0,"",IF(STIG_Metrics!Q17=60,0,($E17/STIG_Metrics!Q17)/24))</f>
        <v/>
      </c>
      <c r="AG17" s="148" t="str">
        <f t="shared" si="8"/>
        <v/>
      </c>
      <c r="AH17" s="146" t="str">
        <f t="shared" si="9"/>
        <v/>
      </c>
      <c r="AI17" s="149" t="str">
        <f>IF($E17=0,"",$E17/STIG_Metrics!N17)</f>
        <v/>
      </c>
      <c r="AJ17" s="149" t="str">
        <f>IF($E17=0,"",$E17/STIG_Metrics!O17)</f>
        <v/>
      </c>
      <c r="AK17" s="147" t="str">
        <f>IF($E17=0,"",$E17/STIG_Metrics!P17)</f>
        <v/>
      </c>
      <c r="AL17" s="149" t="str">
        <f>IF($E17=0,"",$E17/STIG_Metrics!Q17)</f>
        <v/>
      </c>
      <c r="AM17" s="111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89"/>
      <c r="AY17" s="239"/>
      <c r="AZ17" s="110"/>
    </row>
    <row r="18" spans="2:52" ht="39.950000000000003" customHeight="1">
      <c r="B18" s="110"/>
      <c r="C18" s="111"/>
      <c r="D18" s="277" t="str">
        <f>(STIG_Metrics!A18)</f>
        <v>Adobe Acrobat Reader DC Continuous Track</v>
      </c>
      <c r="E18" s="218">
        <v>1400</v>
      </c>
      <c r="F18" s="121"/>
      <c r="G18" s="118">
        <f t="shared" si="1"/>
        <v>1260</v>
      </c>
      <c r="H18" s="122">
        <f t="shared" si="10"/>
        <v>158760</v>
      </c>
      <c r="I18" s="123">
        <f t="shared" si="2"/>
        <v>0</v>
      </c>
      <c r="J18" s="182">
        <f t="shared" si="11"/>
        <v>0</v>
      </c>
      <c r="K18" s="187">
        <f>IF($E18=0,"",(STIG_Metrics!E18)*$E18)</f>
        <v>36400</v>
      </c>
      <c r="L18" s="31">
        <f>IF($E18=0,"",(STIG_Metrics!F18)*$E18)</f>
        <v>30800</v>
      </c>
      <c r="M18" s="47">
        <f>IF($E18=0,"",(STIG_Metrics!G18)*$E18)</f>
        <v>35000</v>
      </c>
      <c r="N18" s="31">
        <f>IF($E18=0,"",(STIG_Metrics!H18)*$E18)</f>
        <v>35000</v>
      </c>
      <c r="O18" s="31">
        <f>IF($E18=0,"",(STIG_Metrics!E18-STIG_Metrics!F18)*$E18)</f>
        <v>5600</v>
      </c>
      <c r="P18" s="47">
        <f>IF($E18=0,"",(STIG_Metrics!E18-STIG_Metrics!G18)*$E18)</f>
        <v>1400</v>
      </c>
      <c r="Q18" s="114">
        <f>IF($E18=0,"",(STIG_Metrics!E18-STIG_Metrics!H18)*$E18)</f>
        <v>1400</v>
      </c>
      <c r="R18" s="115" t="str">
        <f t="shared" si="3"/>
        <v>341 Days 2 Hrs</v>
      </c>
      <c r="S18" s="32" t="str">
        <f t="shared" si="4"/>
        <v>52 Days 4 Hrs</v>
      </c>
      <c r="T18" s="48" t="str">
        <f t="shared" si="5"/>
        <v>13 Days 1 Hrs</v>
      </c>
      <c r="U18" s="237" t="str">
        <f t="shared" si="6"/>
        <v>13 Days 1 Hrs</v>
      </c>
      <c r="V18" s="125">
        <f>IF($E18=0,"",STIG_Metrics!R18)</f>
        <v>5.5000000000000009</v>
      </c>
      <c r="W18" s="49">
        <f>IF($E18=0,"",STIG_Metrics!S18)</f>
        <v>25.000000000000004</v>
      </c>
      <c r="X18" s="33">
        <f>IF($E18=0,"",STIG_Metrics!T18)</f>
        <v>25.000000000000004</v>
      </c>
      <c r="Y18" s="34">
        <f t="shared" si="7"/>
        <v>343980</v>
      </c>
      <c r="Z18" s="34">
        <f t="shared" si="12"/>
        <v>52920</v>
      </c>
      <c r="AA18" s="50">
        <f t="shared" si="13"/>
        <v>13230</v>
      </c>
      <c r="AB18" s="34">
        <f t="shared" si="14"/>
        <v>13230</v>
      </c>
      <c r="AC18" s="208">
        <f>IF($E18=0,"",IF(STIG_Metrics!N18=60,0,($E18/STIG_Metrics!N18)/24))</f>
        <v>113.75000000000001</v>
      </c>
      <c r="AD18" s="148">
        <f>IF($E18=0,"",IF(STIG_Metrics!O18=60,0,($E18/STIG_Metrics!O18)/24))</f>
        <v>17.5</v>
      </c>
      <c r="AE18" s="146">
        <f>IF($E18=0,"",IF(STIG_Metrics!P18=60,0,($E18/STIG_Metrics!P18)/24))</f>
        <v>4.375</v>
      </c>
      <c r="AF18" s="148">
        <f>IF($E18=0,"",IF(STIG_Metrics!Q18=60,0,($E18/STIG_Metrics!Q18)/24))</f>
        <v>4.375</v>
      </c>
      <c r="AG18" s="148">
        <f t="shared" si="8"/>
        <v>13.125</v>
      </c>
      <c r="AH18" s="146">
        <f t="shared" si="9"/>
        <v>0</v>
      </c>
      <c r="AI18" s="149">
        <f>IF($E18=0,"",$E18/STIG_Metrics!N18)</f>
        <v>2730.0000000000005</v>
      </c>
      <c r="AJ18" s="149">
        <f>IF($E18=0,"",$E18/STIG_Metrics!O18)</f>
        <v>420</v>
      </c>
      <c r="AK18" s="147">
        <f>IF($E18=0,"",$E18/STIG_Metrics!P18)</f>
        <v>105</v>
      </c>
      <c r="AL18" s="149">
        <f>IF($E18=0,"",$E18/STIG_Metrics!Q18)</f>
        <v>105</v>
      </c>
      <c r="AM18" s="111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89"/>
      <c r="AY18" s="239"/>
      <c r="AZ18" s="110"/>
    </row>
    <row r="19" spans="2:52" ht="39.950000000000003" customHeight="1">
      <c r="B19" s="110"/>
      <c r="C19" s="111"/>
      <c r="D19" s="277" t="str">
        <f>(STIG_Metrics!A19)</f>
        <v>Amazon Linux 2023</v>
      </c>
      <c r="E19" s="218">
        <v>0</v>
      </c>
      <c r="F19" s="121"/>
      <c r="G19" s="118" t="str">
        <f t="shared" si="1"/>
        <v/>
      </c>
      <c r="H19" s="122" t="str">
        <f t="shared" si="10"/>
        <v/>
      </c>
      <c r="I19" s="123" t="str">
        <f t="shared" si="2"/>
        <v/>
      </c>
      <c r="J19" s="182" t="str">
        <f t="shared" si="11"/>
        <v/>
      </c>
      <c r="K19" s="187" t="str">
        <f>IF($E19=0,"",(STIG_Metrics!E19)*$E19)</f>
        <v/>
      </c>
      <c r="L19" s="31" t="str">
        <f>IF($E19=0,"",(STIG_Metrics!F19)*$E19)</f>
        <v/>
      </c>
      <c r="M19" s="47" t="str">
        <f>IF($E19=0,"",(STIG_Metrics!G19)*$E19)</f>
        <v/>
      </c>
      <c r="N19" s="31" t="str">
        <f>IF($E19=0,"",(STIG_Metrics!H19)*$E19)</f>
        <v/>
      </c>
      <c r="O19" s="31" t="str">
        <f>IF($E19=0,"",(STIG_Metrics!E19-STIG_Metrics!F19)*$E19)</f>
        <v/>
      </c>
      <c r="P19" s="47" t="str">
        <f>IF($E19=0,"",(STIG_Metrics!E19-STIG_Metrics!G19)*$E19)</f>
        <v/>
      </c>
      <c r="Q19" s="114" t="str">
        <f>IF($E19=0,"",(STIG_Metrics!E19-STIG_Metrics!H19)*$E19)</f>
        <v/>
      </c>
      <c r="R19" s="115" t="str">
        <f t="shared" si="3"/>
        <v/>
      </c>
      <c r="S19" s="32" t="str">
        <f t="shared" si="4"/>
        <v/>
      </c>
      <c r="T19" s="48" t="str">
        <f t="shared" si="5"/>
        <v/>
      </c>
      <c r="U19" s="237" t="str">
        <f t="shared" si="6"/>
        <v/>
      </c>
      <c r="V19" s="125" t="str">
        <f>IF($E19=0,"",STIG_Metrics!R19)</f>
        <v/>
      </c>
      <c r="W19" s="49" t="str">
        <f>IF($E19=0,"",STIG_Metrics!S19)</f>
        <v/>
      </c>
      <c r="X19" s="33" t="str">
        <f>IF($E19=0,"",STIG_Metrics!T19)</f>
        <v/>
      </c>
      <c r="Y19" s="34" t="str">
        <f t="shared" si="7"/>
        <v/>
      </c>
      <c r="Z19" s="34" t="str">
        <f t="shared" si="12"/>
        <v/>
      </c>
      <c r="AA19" s="50" t="str">
        <f t="shared" si="13"/>
        <v/>
      </c>
      <c r="AB19" s="34" t="str">
        <f t="shared" si="14"/>
        <v/>
      </c>
      <c r="AC19" s="208" t="str">
        <f>IF($E19=0,"",IF(STIG_Metrics!N19=60,0,($E19/STIG_Metrics!N19)/24))</f>
        <v/>
      </c>
      <c r="AD19" s="148" t="str">
        <f>IF($E19=0,"",IF(STIG_Metrics!O19=60,0,($E19/STIG_Metrics!O19)/24))</f>
        <v/>
      </c>
      <c r="AE19" s="146" t="str">
        <f>IF($E19=0,"",IF(STIG_Metrics!P19=60,0,($E19/STIG_Metrics!P19)/24))</f>
        <v/>
      </c>
      <c r="AF19" s="148" t="str">
        <f>IF($E19=0,"",IF(STIG_Metrics!Q19=60,0,($E19/STIG_Metrics!Q19)/24))</f>
        <v/>
      </c>
      <c r="AG19" s="148" t="str">
        <f t="shared" si="8"/>
        <v/>
      </c>
      <c r="AH19" s="146" t="str">
        <f t="shared" si="9"/>
        <v/>
      </c>
      <c r="AI19" s="149" t="str">
        <f>IF($E19=0,"",$E19/STIG_Metrics!N19)</f>
        <v/>
      </c>
      <c r="AJ19" s="149" t="str">
        <f>IF($E19=0,"",$E19/STIG_Metrics!O19)</f>
        <v/>
      </c>
      <c r="AK19" s="147" t="str">
        <f>IF($E19=0,"",$E19/STIG_Metrics!P19)</f>
        <v/>
      </c>
      <c r="AL19" s="149" t="str">
        <f>IF($E19=0,"",$E19/STIG_Metrics!Q19)</f>
        <v/>
      </c>
      <c r="AM19" s="111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89"/>
      <c r="AY19" s="239"/>
      <c r="AZ19" s="110"/>
    </row>
    <row r="20" spans="2:52" ht="39.950000000000003" customHeight="1">
      <c r="B20" s="110"/>
      <c r="C20" s="111"/>
      <c r="D20" s="277" t="str">
        <f>(STIG_Metrics!A20)</f>
        <v>Apache Server 2.4 UNIX Server</v>
      </c>
      <c r="E20" s="218">
        <v>0</v>
      </c>
      <c r="F20" s="121"/>
      <c r="G20" s="118" t="str">
        <f t="shared" si="1"/>
        <v/>
      </c>
      <c r="H20" s="122" t="str">
        <f t="shared" si="10"/>
        <v/>
      </c>
      <c r="I20" s="123" t="str">
        <f t="shared" si="2"/>
        <v/>
      </c>
      <c r="J20" s="182" t="str">
        <f t="shared" si="11"/>
        <v/>
      </c>
      <c r="K20" s="187" t="str">
        <f>IF($E20=0,"",(STIG_Metrics!E20)*$E20)</f>
        <v/>
      </c>
      <c r="L20" s="31" t="str">
        <f>IF($E20=0,"",(STIG_Metrics!F20)*$E20)</f>
        <v/>
      </c>
      <c r="M20" s="47" t="str">
        <f>IF($E20=0,"",(STIG_Metrics!G20)*$E20)</f>
        <v/>
      </c>
      <c r="N20" s="31" t="str">
        <f>IF($E20=0,"",(STIG_Metrics!H20)*$E20)</f>
        <v/>
      </c>
      <c r="O20" s="31" t="str">
        <f>IF($E20=0,"",(STIG_Metrics!E20-STIG_Metrics!F20)*$E20)</f>
        <v/>
      </c>
      <c r="P20" s="47" t="str">
        <f>IF($E20=0,"",(STIG_Metrics!E20-STIG_Metrics!G20)*$E20)</f>
        <v/>
      </c>
      <c r="Q20" s="114" t="str">
        <f>IF($E20=0,"",(STIG_Metrics!E20-STIG_Metrics!H20)*$E20)</f>
        <v/>
      </c>
      <c r="R20" s="115" t="str">
        <f t="shared" si="3"/>
        <v/>
      </c>
      <c r="S20" s="32" t="str">
        <f t="shared" si="4"/>
        <v/>
      </c>
      <c r="T20" s="48" t="str">
        <f t="shared" si="5"/>
        <v/>
      </c>
      <c r="U20" s="237" t="str">
        <f t="shared" si="6"/>
        <v/>
      </c>
      <c r="V20" s="125" t="str">
        <f>IF($E20=0,"",STIG_Metrics!R20)</f>
        <v/>
      </c>
      <c r="W20" s="49" t="str">
        <f>IF($E20=0,"",STIG_Metrics!S20)</f>
        <v/>
      </c>
      <c r="X20" s="33" t="str">
        <f>IF($E20=0,"",STIG_Metrics!T20)</f>
        <v/>
      </c>
      <c r="Y20" s="34" t="str">
        <f t="shared" si="7"/>
        <v/>
      </c>
      <c r="Z20" s="34" t="str">
        <f t="shared" si="12"/>
        <v/>
      </c>
      <c r="AA20" s="50" t="str">
        <f t="shared" si="13"/>
        <v/>
      </c>
      <c r="AB20" s="34" t="str">
        <f t="shared" si="14"/>
        <v/>
      </c>
      <c r="AC20" s="208" t="str">
        <f>IF($E20=0,"",IF(STIG_Metrics!N20=60,0,($E20/STIG_Metrics!N20)/24))</f>
        <v/>
      </c>
      <c r="AD20" s="148" t="str">
        <f>IF($E20=0,"",IF(STIG_Metrics!O20=60,0,($E20/STIG_Metrics!O20)/24))</f>
        <v/>
      </c>
      <c r="AE20" s="146" t="str">
        <f>IF($E20=0,"",IF(STIG_Metrics!P20=60,0,($E20/STIG_Metrics!P20)/24))</f>
        <v/>
      </c>
      <c r="AF20" s="148" t="str">
        <f>IF($E20=0,"",IF(STIG_Metrics!Q20=60,0,($E20/STIG_Metrics!Q20)/24))</f>
        <v/>
      </c>
      <c r="AG20" s="148" t="str">
        <f t="shared" si="8"/>
        <v/>
      </c>
      <c r="AH20" s="146" t="str">
        <f t="shared" si="9"/>
        <v/>
      </c>
      <c r="AI20" s="149" t="str">
        <f>IF($E20=0,"",$E20/STIG_Metrics!N20)</f>
        <v/>
      </c>
      <c r="AJ20" s="149" t="str">
        <f>IF($E20=0,"",$E20/STIG_Metrics!O20)</f>
        <v/>
      </c>
      <c r="AK20" s="147" t="str">
        <f>IF($E20=0,"",$E20/STIG_Metrics!P20)</f>
        <v/>
      </c>
      <c r="AL20" s="149" t="str">
        <f>IF($E20=0,"",$E20/STIG_Metrics!Q20)</f>
        <v/>
      </c>
      <c r="AM20" s="111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89"/>
      <c r="AY20" s="239"/>
      <c r="AZ20" s="110"/>
    </row>
    <row r="21" spans="2:52" ht="39.950000000000003" customHeight="1">
      <c r="B21" s="110"/>
      <c r="C21" s="111"/>
      <c r="D21" s="277" t="str">
        <f>(STIG_Metrics!A21)</f>
        <v>Apache Server 2.4 UNIX Site</v>
      </c>
      <c r="E21" s="218">
        <v>2</v>
      </c>
      <c r="F21" s="121"/>
      <c r="G21" s="118">
        <f t="shared" si="1"/>
        <v>9.6</v>
      </c>
      <c r="H21" s="122">
        <f t="shared" si="10"/>
        <v>1209.5999999999999</v>
      </c>
      <c r="I21" s="123">
        <f t="shared" si="2"/>
        <v>9.6</v>
      </c>
      <c r="J21" s="182">
        <f t="shared" si="11"/>
        <v>1209.5999999999999</v>
      </c>
      <c r="K21" s="187">
        <f>IF($E21=0,"",(STIG_Metrics!E21)*$E21)</f>
        <v>54</v>
      </c>
      <c r="L21" s="31">
        <f>IF($E21=0,"",(STIG_Metrics!F21)*$E21)</f>
        <v>0</v>
      </c>
      <c r="M21" s="47">
        <f>IF($E21=0,"",(STIG_Metrics!G21)*$E21)</f>
        <v>0</v>
      </c>
      <c r="N21" s="31">
        <f>IF($E21=0,"",(STIG_Metrics!H21)*$E21)</f>
        <v>32</v>
      </c>
      <c r="O21" s="31">
        <f>IF($E21=0,"",(STIG_Metrics!E21-STIG_Metrics!F21)*$E21)</f>
        <v>54</v>
      </c>
      <c r="P21" s="47">
        <f>IF($E21=0,"",(STIG_Metrics!E21-STIG_Metrics!G21)*$E21)</f>
        <v>54</v>
      </c>
      <c r="Q21" s="114">
        <f>IF($E21=0,"",(STIG_Metrics!E21-STIG_Metrics!H21)*$E21)</f>
        <v>22</v>
      </c>
      <c r="R21" s="115" t="str">
        <f t="shared" si="3"/>
        <v>0 Days 4 Hrs</v>
      </c>
      <c r="S21" s="32" t="str">
        <f t="shared" si="4"/>
        <v>0 Days 4 Hrs</v>
      </c>
      <c r="T21" s="48" t="str">
        <f t="shared" si="5"/>
        <v>0 Days 4 Hrs</v>
      </c>
      <c r="U21" s="237" t="str">
        <f t="shared" si="6"/>
        <v>0 Days 1 Hrs</v>
      </c>
      <c r="V21" s="125">
        <f>IF($E21=0,"",STIG_Metrics!R21)</f>
        <v>0</v>
      </c>
      <c r="W21" s="49">
        <f>IF($E21=0,"",STIG_Metrics!S21)</f>
        <v>0</v>
      </c>
      <c r="X21" s="33">
        <f>IF($E21=0,"",STIG_Metrics!T21)</f>
        <v>1.4545454545454548</v>
      </c>
      <c r="Y21" s="34">
        <f t="shared" si="7"/>
        <v>510.29999999999995</v>
      </c>
      <c r="Z21" s="34">
        <f t="shared" si="12"/>
        <v>510.29999999999995</v>
      </c>
      <c r="AA21" s="50">
        <f t="shared" si="13"/>
        <v>510.29999999999995</v>
      </c>
      <c r="AB21" s="34">
        <f t="shared" si="14"/>
        <v>207.89999999999998</v>
      </c>
      <c r="AC21" s="207">
        <f>IF($E21=0,"",IF(STIG_Metrics!N21=60,0,($E21/STIG_Metrics!N21)/24))</f>
        <v>0.16874999999999998</v>
      </c>
      <c r="AD21" s="146">
        <f>IF($E21=0,"",IF(STIG_Metrics!O21=60,0,($E21/STIG_Metrics!O21)/24))</f>
        <v>0.16874999999999998</v>
      </c>
      <c r="AE21" s="146">
        <f>IF($E21=0,"",IF(STIG_Metrics!P21=60,0,($E21/STIG_Metrics!P21)/24))</f>
        <v>0.16874999999999998</v>
      </c>
      <c r="AF21" s="146">
        <f>IF($E21=0,"",IF(STIG_Metrics!Q21=60,0,($E21/STIG_Metrics!Q21)/24))</f>
        <v>6.8749999999999992E-2</v>
      </c>
      <c r="AG21" s="146">
        <f t="shared" si="8"/>
        <v>9.9999999999999992E-2</v>
      </c>
      <c r="AH21" s="146">
        <f t="shared" si="9"/>
        <v>9.9999999999999992E-2</v>
      </c>
      <c r="AI21" s="147">
        <f>IF($E21=0,"",$E21/STIG_Metrics!N21)</f>
        <v>4.05</v>
      </c>
      <c r="AJ21" s="147">
        <f>IF($E21=0,"",$E21/STIG_Metrics!O21)</f>
        <v>4.05</v>
      </c>
      <c r="AK21" s="147">
        <f>IF($E21=0,"",$E21/STIG_Metrics!P21)</f>
        <v>4.05</v>
      </c>
      <c r="AL21" s="147">
        <f>IF($E21=0,"",$E21/STIG_Metrics!Q21)</f>
        <v>1.65</v>
      </c>
      <c r="AM21" s="111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89"/>
      <c r="AY21" s="239"/>
      <c r="AZ21" s="110"/>
    </row>
    <row r="22" spans="2:52" ht="39.950000000000003" customHeight="1">
      <c r="B22" s="110"/>
      <c r="C22" s="111"/>
      <c r="D22" s="277" t="str">
        <f>(STIG_Metrics!A22)</f>
        <v>Apache Server 2.4 Windows Server</v>
      </c>
      <c r="E22" s="218">
        <v>2</v>
      </c>
      <c r="F22" s="121"/>
      <c r="G22" s="118">
        <f t="shared" si="1"/>
        <v>14.999999999999996</v>
      </c>
      <c r="H22" s="122">
        <f t="shared" si="10"/>
        <v>1889.9999999999995</v>
      </c>
      <c r="I22" s="123">
        <f t="shared" si="2"/>
        <v>14.999999999999996</v>
      </c>
      <c r="J22" s="182">
        <f t="shared" si="11"/>
        <v>1889.9999999999995</v>
      </c>
      <c r="K22" s="187">
        <f>IF($E22=0,"",(STIG_Metrics!E22)*$E22)</f>
        <v>108</v>
      </c>
      <c r="L22" s="31">
        <f>IF($E22=0,"",(STIG_Metrics!F22)*$E22)</f>
        <v>0</v>
      </c>
      <c r="M22" s="47">
        <f>IF($E22=0,"",(STIG_Metrics!G22)*$E22)</f>
        <v>0</v>
      </c>
      <c r="N22" s="31">
        <f>IF($E22=0,"",(STIG_Metrics!H22)*$E22)</f>
        <v>50</v>
      </c>
      <c r="O22" s="31">
        <f>IF($E22=0,"",(STIG_Metrics!E22-STIG_Metrics!F22)*$E22)</f>
        <v>108</v>
      </c>
      <c r="P22" s="47">
        <f>IF($E22=0,"",(STIG_Metrics!E22-STIG_Metrics!G22)*$E22)</f>
        <v>108</v>
      </c>
      <c r="Q22" s="114">
        <f>IF($E22=0,"",(STIG_Metrics!E22-STIG_Metrics!H22)*$E22)</f>
        <v>58</v>
      </c>
      <c r="R22" s="115" t="str">
        <f t="shared" si="3"/>
        <v>1 Days 0 Hrs</v>
      </c>
      <c r="S22" s="32" t="str">
        <f t="shared" si="4"/>
        <v>1 Days 0 Hrs</v>
      </c>
      <c r="T22" s="48" t="str">
        <f t="shared" si="5"/>
        <v>1 Days 0 Hrs</v>
      </c>
      <c r="U22" s="237" t="str">
        <f t="shared" si="6"/>
        <v>0 Days 4 Hrs</v>
      </c>
      <c r="V22" s="125">
        <f>IF($E22=0,"",STIG_Metrics!R22)</f>
        <v>0</v>
      </c>
      <c r="W22" s="49">
        <f>IF($E22=0,"",STIG_Metrics!S22)</f>
        <v>0</v>
      </c>
      <c r="X22" s="33">
        <f>IF($E22=0,"",STIG_Metrics!T22)</f>
        <v>0.86206896551724144</v>
      </c>
      <c r="Y22" s="34">
        <f t="shared" si="7"/>
        <v>1020.5999999999999</v>
      </c>
      <c r="Z22" s="34">
        <f t="shared" si="12"/>
        <v>1020.5999999999999</v>
      </c>
      <c r="AA22" s="50">
        <f t="shared" si="13"/>
        <v>1020.5999999999999</v>
      </c>
      <c r="AB22" s="34">
        <f t="shared" si="14"/>
        <v>548.09999999999991</v>
      </c>
      <c r="AC22" s="208">
        <f>IF($E22=0,"",IF(STIG_Metrics!N22=60,0,($E22/STIG_Metrics!N22)/24))</f>
        <v>0.33749999999999997</v>
      </c>
      <c r="AD22" s="148">
        <f>IF($E22=0,"",IF(STIG_Metrics!O22=60,0,($E22/STIG_Metrics!O22)/24))</f>
        <v>0.33749999999999997</v>
      </c>
      <c r="AE22" s="146">
        <f>IF($E22=0,"",IF(STIG_Metrics!P22=60,0,($E22/STIG_Metrics!P22)/24))</f>
        <v>0.33749999999999997</v>
      </c>
      <c r="AF22" s="148">
        <f>IF($E22=0,"",IF(STIG_Metrics!Q22=60,0,($E22/STIG_Metrics!Q22)/24))</f>
        <v>0.18124999999999999</v>
      </c>
      <c r="AG22" s="148">
        <f t="shared" si="8"/>
        <v>0.15624999999999997</v>
      </c>
      <c r="AH22" s="146">
        <f t="shared" si="9"/>
        <v>0.15624999999999997</v>
      </c>
      <c r="AI22" s="149">
        <f>IF($E22=0,"",$E22/STIG_Metrics!N22)</f>
        <v>8.1</v>
      </c>
      <c r="AJ22" s="149">
        <f>IF($E22=0,"",$E22/STIG_Metrics!O22)</f>
        <v>8.1</v>
      </c>
      <c r="AK22" s="147">
        <f>IF($E22=0,"",$E22/STIG_Metrics!P22)</f>
        <v>8.1</v>
      </c>
      <c r="AL22" s="149">
        <f>IF($E22=0,"",$E22/STIG_Metrics!Q22)</f>
        <v>4.3499999999999996</v>
      </c>
      <c r="AM22" s="111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89"/>
      <c r="AY22" s="239"/>
      <c r="AZ22" s="110"/>
    </row>
    <row r="23" spans="2:52" ht="39.950000000000003" customHeight="1">
      <c r="B23" s="110"/>
      <c r="C23" s="111"/>
      <c r="D23" s="277" t="str">
        <f>(STIG_Metrics!A23)</f>
        <v>Apache Server 2.4 Windows Site</v>
      </c>
      <c r="E23" s="218">
        <v>2</v>
      </c>
      <c r="F23" s="121"/>
      <c r="G23" s="118">
        <f t="shared" si="1"/>
        <v>12.600000000000001</v>
      </c>
      <c r="H23" s="122">
        <f t="shared" si="10"/>
        <v>1587.6000000000001</v>
      </c>
      <c r="I23" s="123">
        <f t="shared" si="2"/>
        <v>12.600000000000001</v>
      </c>
      <c r="J23" s="182">
        <f t="shared" si="11"/>
        <v>1587.6000000000001</v>
      </c>
      <c r="K23" s="187">
        <f>IF($E23=0,"",(STIG_Metrics!E23)*$E23)</f>
        <v>72</v>
      </c>
      <c r="L23" s="31">
        <f>IF($E23=0,"",(STIG_Metrics!F23)*$E23)</f>
        <v>0</v>
      </c>
      <c r="M23" s="47">
        <f>IF($E23=0,"",(STIG_Metrics!G23)*$E23)</f>
        <v>0</v>
      </c>
      <c r="N23" s="31">
        <f>IF($E23=0,"",(STIG_Metrics!H23)*$E23)</f>
        <v>42</v>
      </c>
      <c r="O23" s="31">
        <f>IF($E23=0,"",(STIG_Metrics!E23-STIG_Metrics!F23)*$E23)</f>
        <v>72</v>
      </c>
      <c r="P23" s="47">
        <f>IF($E23=0,"",(STIG_Metrics!E23-STIG_Metrics!G23)*$E23)</f>
        <v>72</v>
      </c>
      <c r="Q23" s="114">
        <f>IF($E23=0,"",(STIG_Metrics!E23-STIG_Metrics!H23)*$E23)</f>
        <v>30</v>
      </c>
      <c r="R23" s="115" t="str">
        <f t="shared" si="3"/>
        <v>0 Days 5 Hrs</v>
      </c>
      <c r="S23" s="32" t="str">
        <f t="shared" si="4"/>
        <v>0 Days 5 Hrs</v>
      </c>
      <c r="T23" s="48" t="str">
        <f t="shared" si="5"/>
        <v>0 Days 5 Hrs</v>
      </c>
      <c r="U23" s="237" t="str">
        <f t="shared" si="6"/>
        <v>0 Days 2 Hrs</v>
      </c>
      <c r="V23" s="125">
        <f>IF($E23=0,"",STIG_Metrics!R23)</f>
        <v>0</v>
      </c>
      <c r="W23" s="49">
        <f>IF($E23=0,"",STIG_Metrics!S23)</f>
        <v>0</v>
      </c>
      <c r="X23" s="33">
        <f>IF($E23=0,"",STIG_Metrics!T23)</f>
        <v>1.4</v>
      </c>
      <c r="Y23" s="34">
        <f t="shared" si="7"/>
        <v>680.40000000000009</v>
      </c>
      <c r="Z23" s="34">
        <f t="shared" si="12"/>
        <v>680.40000000000009</v>
      </c>
      <c r="AA23" s="50">
        <f t="shared" si="13"/>
        <v>680.40000000000009</v>
      </c>
      <c r="AB23" s="34">
        <f t="shared" si="14"/>
        <v>283.5</v>
      </c>
      <c r="AC23" s="208">
        <f>IF($E23=0,"",IF(STIG_Metrics!N23=60,0,($E23/STIG_Metrics!N23)/24))</f>
        <v>0.22500000000000001</v>
      </c>
      <c r="AD23" s="148">
        <f>IF($E23=0,"",IF(STIG_Metrics!O23=60,0,($E23/STIG_Metrics!O23)/24))</f>
        <v>0.22500000000000001</v>
      </c>
      <c r="AE23" s="146">
        <f>IF($E23=0,"",IF(STIG_Metrics!P23=60,0,($E23/STIG_Metrics!P23)/24))</f>
        <v>0.22500000000000001</v>
      </c>
      <c r="AF23" s="148">
        <f>IF($E23=0,"",IF(STIG_Metrics!Q23=60,0,($E23/STIG_Metrics!Q23)/24))</f>
        <v>9.375E-2</v>
      </c>
      <c r="AG23" s="148">
        <f t="shared" si="8"/>
        <v>0.13125000000000001</v>
      </c>
      <c r="AH23" s="146">
        <f t="shared" si="9"/>
        <v>0.13125000000000001</v>
      </c>
      <c r="AI23" s="149">
        <f>IF($E23=0,"",$E23/STIG_Metrics!N23)</f>
        <v>5.4</v>
      </c>
      <c r="AJ23" s="149">
        <f>IF($E23=0,"",$E23/STIG_Metrics!O23)</f>
        <v>5.4</v>
      </c>
      <c r="AK23" s="147">
        <f>IF($E23=0,"",$E23/STIG_Metrics!P23)</f>
        <v>5.4</v>
      </c>
      <c r="AL23" s="149">
        <f>IF($E23=0,"",$E23/STIG_Metrics!Q23)</f>
        <v>2.25</v>
      </c>
      <c r="AM23" s="111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89"/>
      <c r="AY23" s="239"/>
      <c r="AZ23" s="110"/>
    </row>
    <row r="24" spans="2:52" ht="39.950000000000003" customHeight="1">
      <c r="B24" s="110"/>
      <c r="C24" s="111"/>
      <c r="D24" s="277" t="str">
        <f>(STIG_Metrics!A24)</f>
        <v>Apache Tomcat Application Server 9</v>
      </c>
      <c r="E24" s="284">
        <v>0</v>
      </c>
      <c r="F24" s="121"/>
      <c r="G24" s="265" t="str">
        <f>IF(E24=0,"",(AG24*24)*4)</f>
        <v/>
      </c>
      <c r="H24" s="266" t="str">
        <f>IF(E24=0,"",PRODUCT($G24,$E$7))</f>
        <v/>
      </c>
      <c r="I24" s="267" t="str">
        <f>IF(E24=0,"",(AH24*24)*4)</f>
        <v/>
      </c>
      <c r="J24" s="268" t="str">
        <f>IF(E24=0,"",PRODUCT($I24,$E$7))</f>
        <v/>
      </c>
      <c r="K24" s="187" t="str">
        <f>IF($E24=0,"",(STIG_Metrics!E24)*$E24)</f>
        <v/>
      </c>
      <c r="L24" s="31" t="str">
        <f>IF($E24=0,"",(STIG_Metrics!F24)*$E24)</f>
        <v/>
      </c>
      <c r="M24" s="47" t="str">
        <f>IF($E24=0,"",(STIG_Metrics!G24)*$E24)</f>
        <v/>
      </c>
      <c r="N24" s="31" t="str">
        <f>IF($E24=0,"",(STIG_Metrics!H24)*$E24)</f>
        <v/>
      </c>
      <c r="O24" s="31" t="str">
        <f>IF($E24=0,"",(STIG_Metrics!E24-STIG_Metrics!F24)*$E24)</f>
        <v/>
      </c>
      <c r="P24" s="31" t="str">
        <f>IF($E24=0,"",(STIG_Metrics!E24-STIG_Metrics!G24)*$E24)</f>
        <v/>
      </c>
      <c r="Q24" s="114" t="str">
        <f>IF($E24=0,"",(STIG_Metrics!E24-STIG_Metrics!H24)*$E24)</f>
        <v/>
      </c>
      <c r="R24" s="115" t="str">
        <f>IF($E24=0,"",FLOOR($AC24*3,1)&amp;" Days"&amp;TEXT(SUM($AC24-TIME(8,0,0)*FLOOR($AC24*3,1))," h")&amp;" Hrs")</f>
        <v/>
      </c>
      <c r="S24" s="32" t="str">
        <f>IF($E24=0,"",FLOOR($AD24*3,1)&amp;" Days"&amp;TEXT(SUM($AD24-TIME(8,0,0)*FLOOR($AD24*3,1))," h")&amp;" Hrs")</f>
        <v/>
      </c>
      <c r="T24" s="32" t="str">
        <f>IF($E24=0,"",FLOOR($AE24*3,1)&amp;" Days"&amp;TEXT(SUM($AE24-TIME(8,0,0)*FLOOR($AE24*3,1))," h")&amp;" Hrs")</f>
        <v/>
      </c>
      <c r="U24" s="237" t="str">
        <f>IF($E24=0,"",FLOOR($AF24*3,1)&amp; " Days"&amp;TEXT(SUM($AF24-TIME(8,0,0)*FLOOR($AF24*3,1))," h") &amp; " Hrs")</f>
        <v/>
      </c>
      <c r="V24" s="269" t="str">
        <f>IF($E24=0,"",STIG_Metrics!R24)</f>
        <v/>
      </c>
      <c r="W24" s="33" t="str">
        <f>IF($E24=0,"",STIG_Metrics!S24)</f>
        <v/>
      </c>
      <c r="X24" s="33" t="str">
        <f>IF($E24=0,"",STIG_Metrics!T24)</f>
        <v/>
      </c>
      <c r="Y24" s="34" t="str">
        <f>IF($E24=0,"",((K24*$E$8/60)*$E$7))</f>
        <v/>
      </c>
      <c r="Z24" s="34" t="str">
        <f>IF($E24=0,"",((O24*$E$8/60)*$E$7))</f>
        <v/>
      </c>
      <c r="AA24" s="34" t="str">
        <f>IF($E24=0,"",((P24*$E$8/60)*$E$7))</f>
        <v/>
      </c>
      <c r="AB24" s="34" t="str">
        <f>IF($E24=0,"",((Q24*$E$8/60)*$E$7))</f>
        <v/>
      </c>
      <c r="AC24" s="148" t="str">
        <f>IF($E24=0,"",IF(STIG_Metrics!N24=60,0,($E24/STIG_Metrics!N24)/24))</f>
        <v/>
      </c>
      <c r="AD24" s="148" t="str">
        <f>IF($E24=0,"",IF(STIG_Metrics!O24=60,0,($E24/STIG_Metrics!O24)/24))</f>
        <v/>
      </c>
      <c r="AE24" s="148" t="str">
        <f>IF($E24=0,"",IF(STIG_Metrics!P24=60,0,($E24/STIG_Metrics!P24)/24))</f>
        <v/>
      </c>
      <c r="AF24" s="148" t="str">
        <f>IF($E24=0,"",IF(STIG_Metrics!Q24=60,0,($E24/STIG_Metrics!Q24)/24))</f>
        <v/>
      </c>
      <c r="AG24" s="148" t="str">
        <f>IF($E24=0,"",$AD24-$AF24)</f>
        <v/>
      </c>
      <c r="AH24" s="148" t="str">
        <f>IF($E24=0,"",$AE24-$AF24)</f>
        <v/>
      </c>
      <c r="AI24" s="149" t="str">
        <f>IF($E24=0,"",$E24/STIG_Metrics!N24)</f>
        <v/>
      </c>
      <c r="AJ24" s="149" t="str">
        <f>IF($E24=0,"",$E24/STIG_Metrics!O24)</f>
        <v/>
      </c>
      <c r="AK24" s="149" t="str">
        <f>IF($E24=0,"",$E24/STIG_Metrics!P24)</f>
        <v/>
      </c>
      <c r="AL24" s="149" t="str">
        <f>IF($E24=0,"",$E24/STIG_Metrics!Q24)</f>
        <v/>
      </c>
      <c r="AM24" s="111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89"/>
      <c r="AY24" s="239"/>
      <c r="AZ24" s="110"/>
    </row>
    <row r="25" spans="2:52" ht="39.950000000000003" customHeight="1">
      <c r="B25" s="110"/>
      <c r="C25" s="111"/>
      <c r="D25" s="277" t="str">
        <f>(STIG_Metrics!A25)</f>
        <v>ArcGIS for Server 10.3</v>
      </c>
      <c r="E25" s="218">
        <v>0</v>
      </c>
      <c r="F25" s="121"/>
      <c r="G25" s="118" t="str">
        <f t="shared" si="1"/>
        <v/>
      </c>
      <c r="H25" s="122" t="str">
        <f t="shared" si="10"/>
        <v/>
      </c>
      <c r="I25" s="123" t="str">
        <f t="shared" si="2"/>
        <v/>
      </c>
      <c r="J25" s="182" t="str">
        <f t="shared" si="11"/>
        <v/>
      </c>
      <c r="K25" s="187" t="str">
        <f>IF($E25=0,"",(STIG_Metrics!E25)*$E25)</f>
        <v/>
      </c>
      <c r="L25" s="31" t="str">
        <f>IF($E25=0,"",(STIG_Metrics!F25)*$E25)</f>
        <v/>
      </c>
      <c r="M25" s="47" t="str">
        <f>IF($E25=0,"",(STIG_Metrics!G25)*$E25)</f>
        <v/>
      </c>
      <c r="N25" s="31" t="str">
        <f>IF($E25=0,"",(STIG_Metrics!H25)*$E25)</f>
        <v/>
      </c>
      <c r="O25" s="31" t="str">
        <f>IF($E25=0,"",(STIG_Metrics!E25-STIG_Metrics!F25)*$E25)</f>
        <v/>
      </c>
      <c r="P25" s="47" t="str">
        <f>IF($E25=0,"",(STIG_Metrics!E25-STIG_Metrics!G25)*$E25)</f>
        <v/>
      </c>
      <c r="Q25" s="114" t="str">
        <f>IF($E25=0,"",(STIG_Metrics!E25-STIG_Metrics!H25)*$E25)</f>
        <v/>
      </c>
      <c r="R25" s="115" t="str">
        <f t="shared" si="3"/>
        <v/>
      </c>
      <c r="S25" s="32" t="str">
        <f t="shared" si="4"/>
        <v/>
      </c>
      <c r="T25" s="48" t="str">
        <f t="shared" si="5"/>
        <v/>
      </c>
      <c r="U25" s="237" t="str">
        <f t="shared" si="6"/>
        <v/>
      </c>
      <c r="V25" s="125" t="str">
        <f>IF($E25=0,"",STIG_Metrics!R25)</f>
        <v/>
      </c>
      <c r="W25" s="49" t="str">
        <f>IF($E25=0,"",STIG_Metrics!S25)</f>
        <v/>
      </c>
      <c r="X25" s="33" t="str">
        <f>IF($E25=0,"",STIG_Metrics!T25)</f>
        <v/>
      </c>
      <c r="Y25" s="34" t="str">
        <f t="shared" si="7"/>
        <v/>
      </c>
      <c r="Z25" s="34" t="str">
        <f t="shared" si="12"/>
        <v/>
      </c>
      <c r="AA25" s="50" t="str">
        <f t="shared" si="13"/>
        <v/>
      </c>
      <c r="AB25" s="34" t="str">
        <f t="shared" si="14"/>
        <v/>
      </c>
      <c r="AC25" s="208" t="str">
        <f>IF($E25=0,"",IF(STIG_Metrics!N25=60,0,($E25/STIG_Metrics!N25)/24))</f>
        <v/>
      </c>
      <c r="AD25" s="148" t="str">
        <f>IF($E25=0,"",IF(STIG_Metrics!O25=60,0,($E25/STIG_Metrics!O25)/24))</f>
        <v/>
      </c>
      <c r="AE25" s="146" t="str">
        <f>IF($E25=0,"",IF(STIG_Metrics!P25=60,0,($E25/STIG_Metrics!P25)/24))</f>
        <v/>
      </c>
      <c r="AF25" s="148" t="str">
        <f>IF($E25=0,"",IF(STIG_Metrics!Q25=60,0,($E25/STIG_Metrics!Q25)/24))</f>
        <v/>
      </c>
      <c r="AG25" s="148" t="str">
        <f t="shared" si="8"/>
        <v/>
      </c>
      <c r="AH25" s="146" t="str">
        <f t="shared" si="9"/>
        <v/>
      </c>
      <c r="AI25" s="149" t="str">
        <f>IF($E25=0,"",$E25/STIG_Metrics!N25)</f>
        <v/>
      </c>
      <c r="AJ25" s="149" t="str">
        <f>IF($E25=0,"",$E25/STIG_Metrics!O25)</f>
        <v/>
      </c>
      <c r="AK25" s="147" t="str">
        <f>IF($E25=0,"",$E25/STIG_Metrics!P25)</f>
        <v/>
      </c>
      <c r="AL25" s="149" t="str">
        <f>IF($E25=0,"",$E25/STIG_Metrics!Q25)</f>
        <v/>
      </c>
      <c r="AM25" s="111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89"/>
      <c r="AY25" s="239"/>
      <c r="AZ25" s="110"/>
    </row>
    <row r="26" spans="2:52" ht="39.950000000000003" customHeight="1">
      <c r="B26" s="110"/>
      <c r="C26" s="111"/>
      <c r="D26" s="277" t="str">
        <f>(STIG_Metrics!A26)</f>
        <v>Canonical Ubuntu 16.04 LTS</v>
      </c>
      <c r="E26" s="218">
        <v>0</v>
      </c>
      <c r="F26" s="121"/>
      <c r="G26" s="118" t="str">
        <f t="shared" si="1"/>
        <v/>
      </c>
      <c r="H26" s="122" t="str">
        <f t="shared" si="10"/>
        <v/>
      </c>
      <c r="I26" s="123" t="str">
        <f t="shared" si="2"/>
        <v/>
      </c>
      <c r="J26" s="182" t="str">
        <f t="shared" si="11"/>
        <v/>
      </c>
      <c r="K26" s="187" t="str">
        <f>IF($E26=0,"",(STIG_Metrics!E26)*$E26)</f>
        <v/>
      </c>
      <c r="L26" s="31" t="str">
        <f>IF($E26=0,"",(STIG_Metrics!F26)*$E26)</f>
        <v/>
      </c>
      <c r="M26" s="47" t="str">
        <f>IF($E26=0,"",(STIG_Metrics!G26)*$E26)</f>
        <v/>
      </c>
      <c r="N26" s="31" t="str">
        <f>IF($E26=0,"",(STIG_Metrics!H26)*$E26)</f>
        <v/>
      </c>
      <c r="O26" s="31" t="str">
        <f>IF($E26=0,"",(STIG_Metrics!E26-STIG_Metrics!F26)*$E26)</f>
        <v/>
      </c>
      <c r="P26" s="47" t="str">
        <f>IF($E26=0,"",(STIG_Metrics!E26-STIG_Metrics!G26)*$E26)</f>
        <v/>
      </c>
      <c r="Q26" s="114" t="str">
        <f>IF($E26=0,"",(STIG_Metrics!E26-STIG_Metrics!H26)*$E26)</f>
        <v/>
      </c>
      <c r="R26" s="115" t="str">
        <f t="shared" si="3"/>
        <v/>
      </c>
      <c r="S26" s="32" t="str">
        <f t="shared" si="4"/>
        <v/>
      </c>
      <c r="T26" s="48" t="str">
        <f t="shared" si="5"/>
        <v/>
      </c>
      <c r="U26" s="237" t="str">
        <f t="shared" si="6"/>
        <v/>
      </c>
      <c r="V26" s="125" t="str">
        <f>IF($E26=0,"",STIG_Metrics!R26)</f>
        <v/>
      </c>
      <c r="W26" s="49" t="str">
        <f>IF($E26=0,"",STIG_Metrics!S26)</f>
        <v/>
      </c>
      <c r="X26" s="33" t="str">
        <f>IF($E26=0,"",STIG_Metrics!T26)</f>
        <v/>
      </c>
      <c r="Y26" s="34" t="str">
        <f t="shared" si="7"/>
        <v/>
      </c>
      <c r="Z26" s="34" t="str">
        <f t="shared" si="12"/>
        <v/>
      </c>
      <c r="AA26" s="50" t="str">
        <f t="shared" si="13"/>
        <v/>
      </c>
      <c r="AB26" s="34" t="str">
        <f t="shared" si="14"/>
        <v/>
      </c>
      <c r="AC26" s="208" t="str">
        <f>IF($E26=0,"",IF(STIG_Metrics!N26=60,0,($E26/STIG_Metrics!N26)/24))</f>
        <v/>
      </c>
      <c r="AD26" s="148" t="str">
        <f>IF($E26=0,"",IF(STIG_Metrics!O26=60,0,($E26/STIG_Metrics!O26)/24))</f>
        <v/>
      </c>
      <c r="AE26" s="146" t="str">
        <f>IF($E26=0,"",IF(STIG_Metrics!P26=60,0,($E26/STIG_Metrics!P26)/24))</f>
        <v/>
      </c>
      <c r="AF26" s="148" t="str">
        <f>IF($E26=0,"",IF(STIG_Metrics!Q26=60,0,($E26/STIG_Metrics!Q26)/24))</f>
        <v/>
      </c>
      <c r="AG26" s="148" t="str">
        <f t="shared" si="8"/>
        <v/>
      </c>
      <c r="AH26" s="146" t="str">
        <f t="shared" si="9"/>
        <v/>
      </c>
      <c r="AI26" s="149" t="str">
        <f>IF($E26=0,"",$E26/STIG_Metrics!N26)</f>
        <v/>
      </c>
      <c r="AJ26" s="149" t="str">
        <f>IF($E26=0,"",$E26/STIG_Metrics!O26)</f>
        <v/>
      </c>
      <c r="AK26" s="147" t="str">
        <f>IF($E26=0,"",$E26/STIG_Metrics!P26)</f>
        <v/>
      </c>
      <c r="AL26" s="149" t="str">
        <f>IF($E26=0,"",$E26/STIG_Metrics!Q26)</f>
        <v/>
      </c>
      <c r="AM26" s="111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89"/>
      <c r="AY26" s="239"/>
      <c r="AZ26" s="110"/>
    </row>
    <row r="27" spans="2:52" ht="39.950000000000003" customHeight="1">
      <c r="B27" s="110"/>
      <c r="C27" s="111"/>
      <c r="D27" s="277" t="str">
        <f>(STIG_Metrics!A27)</f>
        <v>Canonical Ubuntu 18.04 LTS</v>
      </c>
      <c r="E27" s="218">
        <v>0</v>
      </c>
      <c r="F27" s="121"/>
      <c r="G27" s="118" t="str">
        <f t="shared" si="1"/>
        <v/>
      </c>
      <c r="H27" s="122" t="str">
        <f t="shared" si="10"/>
        <v/>
      </c>
      <c r="I27" s="123" t="str">
        <f t="shared" si="2"/>
        <v/>
      </c>
      <c r="J27" s="182" t="str">
        <f t="shared" si="11"/>
        <v/>
      </c>
      <c r="K27" s="187" t="str">
        <f>IF($E27=0,"",(STIG_Metrics!E27)*$E27)</f>
        <v/>
      </c>
      <c r="L27" s="31" t="str">
        <f>IF($E27=0,"",(STIG_Metrics!F27)*$E27)</f>
        <v/>
      </c>
      <c r="M27" s="47" t="str">
        <f>IF($E27=0,"",(STIG_Metrics!G27)*$E27)</f>
        <v/>
      </c>
      <c r="N27" s="31" t="str">
        <f>IF($E27=0,"",(STIG_Metrics!H27)*$E27)</f>
        <v/>
      </c>
      <c r="O27" s="31" t="str">
        <f>IF($E27=0,"",(STIG_Metrics!E27-STIG_Metrics!F27)*$E27)</f>
        <v/>
      </c>
      <c r="P27" s="47" t="str">
        <f>IF($E27=0,"",(STIG_Metrics!E27-STIG_Metrics!G27)*$E27)</f>
        <v/>
      </c>
      <c r="Q27" s="114" t="str">
        <f>IF($E27=0,"",(STIG_Metrics!E27-STIG_Metrics!H27)*$E27)</f>
        <v/>
      </c>
      <c r="R27" s="115" t="str">
        <f t="shared" si="3"/>
        <v/>
      </c>
      <c r="S27" s="32" t="str">
        <f t="shared" si="4"/>
        <v/>
      </c>
      <c r="T27" s="48" t="str">
        <f t="shared" si="5"/>
        <v/>
      </c>
      <c r="U27" s="237" t="str">
        <f t="shared" si="6"/>
        <v/>
      </c>
      <c r="V27" s="125" t="str">
        <f>IF($E27=0,"",STIG_Metrics!R27)</f>
        <v/>
      </c>
      <c r="W27" s="49" t="str">
        <f>IF($E27=0,"",STIG_Metrics!S27)</f>
        <v/>
      </c>
      <c r="X27" s="33" t="str">
        <f>IF($E27=0,"",STIG_Metrics!T27)</f>
        <v/>
      </c>
      <c r="Y27" s="34" t="str">
        <f t="shared" si="7"/>
        <v/>
      </c>
      <c r="Z27" s="34" t="str">
        <f t="shared" si="12"/>
        <v/>
      </c>
      <c r="AA27" s="50" t="str">
        <f t="shared" si="13"/>
        <v/>
      </c>
      <c r="AB27" s="34" t="str">
        <f t="shared" si="14"/>
        <v/>
      </c>
      <c r="AC27" s="208" t="str">
        <f>IF($E27=0,"",IF(STIG_Metrics!N27=60,0,($E27/STIG_Metrics!N27)/24))</f>
        <v/>
      </c>
      <c r="AD27" s="148" t="str">
        <f>IF($E27=0,"",IF(STIG_Metrics!O27=60,0,($E27/STIG_Metrics!O27)/24))</f>
        <v/>
      </c>
      <c r="AE27" s="146" t="str">
        <f>IF($E27=0,"",IF(STIG_Metrics!P27=60,0,($E27/STIG_Metrics!P27)/24))</f>
        <v/>
      </c>
      <c r="AF27" s="148" t="str">
        <f>IF($E27=0,"",IF(STIG_Metrics!Q27=60,0,($E27/STIG_Metrics!Q27)/24))</f>
        <v/>
      </c>
      <c r="AG27" s="148" t="str">
        <f t="shared" si="8"/>
        <v/>
      </c>
      <c r="AH27" s="146" t="str">
        <f t="shared" si="9"/>
        <v/>
      </c>
      <c r="AI27" s="149" t="str">
        <f>IF($E27=0,"",$E27/STIG_Metrics!N27)</f>
        <v/>
      </c>
      <c r="AJ27" s="149" t="str">
        <f>IF($E27=0,"",$E27/STIG_Metrics!O27)</f>
        <v/>
      </c>
      <c r="AK27" s="147" t="str">
        <f>IF($E27=0,"",$E27/STIG_Metrics!P27)</f>
        <v/>
      </c>
      <c r="AL27" s="149" t="str">
        <f>IF($E27=0,"",$E27/STIG_Metrics!Q27)</f>
        <v/>
      </c>
      <c r="AM27" s="111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89"/>
      <c r="AY27" s="239"/>
      <c r="AZ27" s="110"/>
    </row>
    <row r="28" spans="2:52" ht="39.950000000000003" customHeight="1">
      <c r="B28" s="110"/>
      <c r="C28" s="111"/>
      <c r="D28" s="277" t="str">
        <f>(STIG_Metrics!A28)</f>
        <v>Canonical Ubuntu 20.04 LTS</v>
      </c>
      <c r="E28" s="218">
        <v>0</v>
      </c>
      <c r="F28" s="121"/>
      <c r="G28" s="118" t="str">
        <f t="shared" si="1"/>
        <v/>
      </c>
      <c r="H28" s="122" t="str">
        <f t="shared" si="10"/>
        <v/>
      </c>
      <c r="I28" s="123" t="str">
        <f t="shared" si="2"/>
        <v/>
      </c>
      <c r="J28" s="182" t="str">
        <f t="shared" si="11"/>
        <v/>
      </c>
      <c r="K28" s="187" t="str">
        <f>IF($E28=0,"",(STIG_Metrics!E28)*$E28)</f>
        <v/>
      </c>
      <c r="L28" s="31" t="str">
        <f>IF($E28=0,"",(STIG_Metrics!F28)*$E28)</f>
        <v/>
      </c>
      <c r="M28" s="47" t="str">
        <f>IF($E28=0,"",(STIG_Metrics!G28)*$E28)</f>
        <v/>
      </c>
      <c r="N28" s="31" t="str">
        <f>IF($E28=0,"",(STIG_Metrics!H28)*$E28)</f>
        <v/>
      </c>
      <c r="O28" s="31" t="str">
        <f>IF($E28=0,"",(STIG_Metrics!E28-STIG_Metrics!F28)*$E28)</f>
        <v/>
      </c>
      <c r="P28" s="47" t="str">
        <f>IF($E28=0,"",(STIG_Metrics!E28-STIG_Metrics!G28)*$E28)</f>
        <v/>
      </c>
      <c r="Q28" s="114" t="str">
        <f>IF($E28=0,"",(STIG_Metrics!E28-STIG_Metrics!H28)*$E28)</f>
        <v/>
      </c>
      <c r="R28" s="115" t="str">
        <f t="shared" si="3"/>
        <v/>
      </c>
      <c r="S28" s="32" t="str">
        <f t="shared" si="4"/>
        <v/>
      </c>
      <c r="T28" s="48" t="str">
        <f t="shared" si="5"/>
        <v/>
      </c>
      <c r="U28" s="237" t="str">
        <f t="shared" si="6"/>
        <v/>
      </c>
      <c r="V28" s="125" t="str">
        <f>IF($E28=0,"",STIG_Metrics!R28)</f>
        <v/>
      </c>
      <c r="W28" s="49" t="str">
        <f>IF($E28=0,"",STIG_Metrics!S28)</f>
        <v/>
      </c>
      <c r="X28" s="33" t="str">
        <f>IF($E28=0,"",STIG_Metrics!T28)</f>
        <v/>
      </c>
      <c r="Y28" s="34" t="str">
        <f t="shared" si="7"/>
        <v/>
      </c>
      <c r="Z28" s="34" t="str">
        <f t="shared" si="12"/>
        <v/>
      </c>
      <c r="AA28" s="50" t="str">
        <f t="shared" si="13"/>
        <v/>
      </c>
      <c r="AB28" s="34" t="str">
        <f t="shared" si="14"/>
        <v/>
      </c>
      <c r="AC28" s="208" t="str">
        <f>IF($E28=0,"",IF(STIG_Metrics!N28=60,0,($E28/STIG_Metrics!N28)/24))</f>
        <v/>
      </c>
      <c r="AD28" s="148" t="str">
        <f>IF($E28=0,"",IF(STIG_Metrics!O28=60,0,($E28/STIG_Metrics!O28)/24))</f>
        <v/>
      </c>
      <c r="AE28" s="146" t="str">
        <f>IF($E28=0,"",IF(STIG_Metrics!P28=60,0,($E28/STIG_Metrics!P28)/24))</f>
        <v/>
      </c>
      <c r="AF28" s="148" t="str">
        <f>IF($E28=0,"",IF(STIG_Metrics!Q28=60,0,($E28/STIG_Metrics!Q28)/24))</f>
        <v/>
      </c>
      <c r="AG28" s="148" t="str">
        <f t="shared" si="8"/>
        <v/>
      </c>
      <c r="AH28" s="146" t="str">
        <f t="shared" si="9"/>
        <v/>
      </c>
      <c r="AI28" s="149" t="str">
        <f>IF($E28=0,"",$E28/STIG_Metrics!N28)</f>
        <v/>
      </c>
      <c r="AJ28" s="149" t="str">
        <f>IF($E28=0,"",$E28/STIG_Metrics!O28)</f>
        <v/>
      </c>
      <c r="AK28" s="147" t="str">
        <f>IF($E28=0,"",$E28/STIG_Metrics!P28)</f>
        <v/>
      </c>
      <c r="AL28" s="149" t="str">
        <f>IF($E28=0,"",$E28/STIG_Metrics!Q28)</f>
        <v/>
      </c>
      <c r="AM28" s="111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89"/>
      <c r="AY28" s="239"/>
      <c r="AZ28" s="110"/>
    </row>
    <row r="29" spans="2:52" ht="39.950000000000003" customHeight="1">
      <c r="B29" s="110"/>
      <c r="C29" s="111"/>
      <c r="D29" s="278" t="str">
        <f>(STIG_Metrics!A29)</f>
        <v>Canonical Ubuntu 22.04 LTS</v>
      </c>
      <c r="E29" s="218">
        <v>0</v>
      </c>
      <c r="F29" s="120"/>
      <c r="G29" s="118" t="str">
        <f>IF(E29=0,"",(AG29*24)*4)</f>
        <v/>
      </c>
      <c r="H29" s="122" t="str">
        <f>IF(E29=0,"",PRODUCT($G29,$E$7))</f>
        <v/>
      </c>
      <c r="I29" s="123" t="str">
        <f>IF(E29=0,"",(AH29*24)*4)</f>
        <v/>
      </c>
      <c r="J29" s="260" t="str">
        <f>IF(E29=0,"",PRODUCT($I29,$E$7))</f>
        <v/>
      </c>
      <c r="K29" s="186" t="str">
        <f>IF($E29=0,"",(STIG_Metrics!E29)*$E29)</f>
        <v/>
      </c>
      <c r="L29" s="47" t="str">
        <f>IF($E29=0,"",(STIG_Metrics!F29)*$E29)</f>
        <v/>
      </c>
      <c r="M29" s="47" t="str">
        <f>IF($E29=0,"",(STIG_Metrics!G29)*$E29)</f>
        <v/>
      </c>
      <c r="N29" s="47" t="str">
        <f>IF($E29=0,"",(STIG_Metrics!H29)*$E29)</f>
        <v/>
      </c>
      <c r="O29" s="47" t="str">
        <f>IF($E29=0,"",(STIG_Metrics!E29-STIG_Metrics!F29)*$E29)</f>
        <v/>
      </c>
      <c r="P29" s="47" t="str">
        <f>IF($E29=0,"",(STIG_Metrics!E29-STIG_Metrics!G29)*$E29)</f>
        <v/>
      </c>
      <c r="Q29" s="112" t="str">
        <f>IF($E29=0,"",(STIG_Metrics!E29-STIG_Metrics!H29)*$E29)</f>
        <v/>
      </c>
      <c r="R29" s="113" t="str">
        <f>IF($E29=0,"",FLOOR($AC29*3,1)&amp;" Days"&amp;TEXT(SUM($AC29-TIME(8,0,0)*FLOOR($AC29*3,1))," h")&amp;" Hrs")</f>
        <v/>
      </c>
      <c r="S29" s="48" t="str">
        <f>IF($E29=0,"",FLOOR($AD29*3,1)&amp;" Days"&amp;TEXT(SUM($AD29-TIME(8,0,0)*FLOOR($AD29*3,1))," h")&amp;" Hrs")</f>
        <v/>
      </c>
      <c r="T29" s="48" t="str">
        <f>IF($E29=0,"",FLOOR($AE29*3,1)&amp;" Days"&amp;TEXT(SUM($AE29-TIME(8,0,0)*FLOOR($AE29*3,1))," h")&amp;" Hrs")</f>
        <v/>
      </c>
      <c r="U29" s="236" t="str">
        <f>IF($E29=0,"",FLOOR($AF29*3,1)&amp; " Days"&amp;TEXT(SUM($AF29-TIME(8,0,0)*FLOOR($AF29*3,1))," h") &amp; " Hrs")</f>
        <v/>
      </c>
      <c r="V29" s="261" t="str">
        <f>IF($E29=0,"",STIG_Metrics!R29)</f>
        <v/>
      </c>
      <c r="W29" s="49" t="str">
        <f>IF($E29=0,"",STIG_Metrics!S29)</f>
        <v/>
      </c>
      <c r="X29" s="49" t="str">
        <f>IF($E29=0,"",STIG_Metrics!T29)</f>
        <v/>
      </c>
      <c r="Y29" s="50" t="str">
        <f>IF($E29=0,"",((K29*$E$8/60)*$E$7))</f>
        <v/>
      </c>
      <c r="Z29" s="50" t="str">
        <f>IF($E29=0,"",((O29*$E$8/60)*$E$7))</f>
        <v/>
      </c>
      <c r="AA29" s="50" t="str">
        <f>IF($E29=0,"",((P29*$E$8/60)*$E$7))</f>
        <v/>
      </c>
      <c r="AB29" s="50" t="str">
        <f>IF($E29=0,"",((Q29*$E$8/60)*$E$7))</f>
        <v/>
      </c>
      <c r="AC29" s="146" t="str">
        <f>IF($E29=0,"",IF(STIG_Metrics!N29=60,0,($E29/STIG_Metrics!N29)/24))</f>
        <v/>
      </c>
      <c r="AD29" s="146" t="str">
        <f>IF($E29=0,"",IF(STIG_Metrics!O29=60,0,($E29/STIG_Metrics!O29)/24))</f>
        <v/>
      </c>
      <c r="AE29" s="146" t="str">
        <f>IF($E29=0,"",IF(STIG_Metrics!P29=60,0,($E29/STIG_Metrics!P29)/24))</f>
        <v/>
      </c>
      <c r="AF29" s="146" t="str">
        <f>IF($E29=0,"",IF(STIG_Metrics!Q29=60,0,($E29/STIG_Metrics!Q29)/24))</f>
        <v/>
      </c>
      <c r="AG29" s="146" t="str">
        <f>IF($E29=0,"",$AD29-$AF29)</f>
        <v/>
      </c>
      <c r="AH29" s="146" t="str">
        <f>IF($E29=0,"",$AE29-$AF29)</f>
        <v/>
      </c>
      <c r="AI29" s="147" t="str">
        <f>IF($E29=0,"",$E29/STIG_Metrics!N29)</f>
        <v/>
      </c>
      <c r="AJ29" s="147" t="str">
        <f>IF($E29=0,"",$E29/STIG_Metrics!O29)</f>
        <v/>
      </c>
      <c r="AK29" s="147" t="str">
        <f>IF($E29=0,"",$E29/STIG_Metrics!P29)</f>
        <v/>
      </c>
      <c r="AL29" s="147" t="str">
        <f>IF($E29=0,"",$E29/STIG_Metrics!Q29)</f>
        <v/>
      </c>
      <c r="AM29" s="111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89"/>
      <c r="AY29" s="239"/>
      <c r="AZ29" s="110"/>
    </row>
    <row r="30" spans="2:52" ht="39.950000000000003" customHeight="1">
      <c r="B30" s="110"/>
      <c r="C30" s="111"/>
      <c r="D30" s="277" t="str">
        <f>(STIG_Metrics!A30)</f>
        <v>Canonical Ubuntu 24.04 LTS</v>
      </c>
      <c r="E30" s="218">
        <v>0</v>
      </c>
      <c r="F30" s="121"/>
      <c r="G30" s="118" t="str">
        <f t="shared" si="1"/>
        <v/>
      </c>
      <c r="H30" s="122" t="str">
        <f t="shared" si="10"/>
        <v/>
      </c>
      <c r="I30" s="123" t="str">
        <f t="shared" si="2"/>
        <v/>
      </c>
      <c r="J30" s="182" t="str">
        <f t="shared" si="11"/>
        <v/>
      </c>
      <c r="K30" s="187" t="str">
        <f>IF($E30=0,"",(STIG_Metrics!E30)*$E30)</f>
        <v/>
      </c>
      <c r="L30" s="31" t="str">
        <f>IF($E30=0,"",(STIG_Metrics!F30)*$E30)</f>
        <v/>
      </c>
      <c r="M30" s="47" t="str">
        <f>IF($E30=0,"",(STIG_Metrics!G30)*$E30)</f>
        <v/>
      </c>
      <c r="N30" s="31" t="str">
        <f>IF($E30=0,"",(STIG_Metrics!H30)*$E30)</f>
        <v/>
      </c>
      <c r="O30" s="31" t="str">
        <f>IF($E30=0,"",(STIG_Metrics!E30-STIG_Metrics!F30)*$E30)</f>
        <v/>
      </c>
      <c r="P30" s="47" t="str">
        <f>IF($E30=0,"",(STIG_Metrics!E30-STIG_Metrics!G30)*$E30)</f>
        <v/>
      </c>
      <c r="Q30" s="114" t="str">
        <f>IF($E30=0,"",(STIG_Metrics!E30-STIG_Metrics!H30)*$E30)</f>
        <v/>
      </c>
      <c r="R30" s="115" t="str">
        <f t="shared" si="3"/>
        <v/>
      </c>
      <c r="S30" s="32" t="str">
        <f t="shared" si="4"/>
        <v/>
      </c>
      <c r="T30" s="48" t="str">
        <f t="shared" si="5"/>
        <v/>
      </c>
      <c r="U30" s="237" t="str">
        <f t="shared" si="6"/>
        <v/>
      </c>
      <c r="V30" s="125" t="str">
        <f>IF($E30=0,"",STIG_Metrics!R30)</f>
        <v/>
      </c>
      <c r="W30" s="49" t="str">
        <f>IF($E30=0,"",STIG_Metrics!S30)</f>
        <v/>
      </c>
      <c r="X30" s="33" t="str">
        <f>IF($E30=0,"",STIG_Metrics!T30)</f>
        <v/>
      </c>
      <c r="Y30" s="34" t="str">
        <f t="shared" si="7"/>
        <v/>
      </c>
      <c r="Z30" s="34" t="str">
        <f t="shared" si="12"/>
        <v/>
      </c>
      <c r="AA30" s="50" t="str">
        <f t="shared" si="13"/>
        <v/>
      </c>
      <c r="AB30" s="34" t="str">
        <f t="shared" si="14"/>
        <v/>
      </c>
      <c r="AC30" s="207" t="str">
        <f>IF($E30=0,"",IF(STIG_Metrics!N30=60,0,($E30/STIG_Metrics!N30)/24))</f>
        <v/>
      </c>
      <c r="AD30" s="146" t="str">
        <f>IF($E30=0,"",IF(STIG_Metrics!O30=60,0,($E30/STIG_Metrics!O30)/24))</f>
        <v/>
      </c>
      <c r="AE30" s="146" t="str">
        <f>IF($E30=0,"",IF(STIG_Metrics!P30=60,0,($E30/STIG_Metrics!P30)/24))</f>
        <v/>
      </c>
      <c r="AF30" s="146" t="str">
        <f>IF($E30=0,"",IF(STIG_Metrics!Q30=60,0,($E30/STIG_Metrics!Q30)/24))</f>
        <v/>
      </c>
      <c r="AG30" s="146" t="str">
        <f t="shared" si="8"/>
        <v/>
      </c>
      <c r="AH30" s="146" t="str">
        <f t="shared" si="9"/>
        <v/>
      </c>
      <c r="AI30" s="147" t="str">
        <f>IF($E30=0,"",$E30/STIG_Metrics!N30)</f>
        <v/>
      </c>
      <c r="AJ30" s="147" t="str">
        <f>IF($E30=0,"",$E30/STIG_Metrics!O30)</f>
        <v/>
      </c>
      <c r="AK30" s="147" t="str">
        <f>IF($E30=0,"",$E30/STIG_Metrics!P30)</f>
        <v/>
      </c>
      <c r="AL30" s="147" t="str">
        <f>IF($E30=0,"",$E30/STIG_Metrics!Q30)</f>
        <v/>
      </c>
      <c r="AM30" s="111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89"/>
      <c r="AY30" s="239"/>
      <c r="AZ30" s="110"/>
    </row>
    <row r="31" spans="2:52" ht="39.950000000000003" customHeight="1">
      <c r="B31" s="110"/>
      <c r="C31" s="111"/>
      <c r="D31" s="277" t="str">
        <f>(STIG_Metrics!A31)</f>
        <v>Cisco IOS Router NDM</v>
      </c>
      <c r="E31" s="284">
        <v>0</v>
      </c>
      <c r="F31" s="121"/>
      <c r="G31" s="265" t="str">
        <f>IF(E31=0,"",(AG31*24)*4)</f>
        <v/>
      </c>
      <c r="H31" s="266" t="str">
        <f>IF(E31=0,"",PRODUCT($G31,$E$7))</f>
        <v/>
      </c>
      <c r="I31" s="267" t="str">
        <f>IF(E31=0,"",(AH31*24)*4)</f>
        <v/>
      </c>
      <c r="J31" s="268" t="str">
        <f>IF(E31=0,"",PRODUCT($I31,$E$7))</f>
        <v/>
      </c>
      <c r="K31" s="187" t="str">
        <f>IF($E31=0,"",(STIG_Metrics!E31)*$E31)</f>
        <v/>
      </c>
      <c r="L31" s="31" t="str">
        <f>IF($E31=0,"",(STIG_Metrics!F31)*$E31)</f>
        <v/>
      </c>
      <c r="M31" s="47" t="str">
        <f>IF($E31=0,"",(STIG_Metrics!G31)*$E31)</f>
        <v/>
      </c>
      <c r="N31" s="31" t="str">
        <f>IF($E31=0,"",(STIG_Metrics!H31)*$E31)</f>
        <v/>
      </c>
      <c r="O31" s="31" t="str">
        <f>IF($E31=0,"",(STIG_Metrics!E31-STIG_Metrics!F31)*$E31)</f>
        <v/>
      </c>
      <c r="P31" s="31" t="str">
        <f>IF($E31=0,"",(STIG_Metrics!E31-STIG_Metrics!G31)*$E31)</f>
        <v/>
      </c>
      <c r="Q31" s="114" t="str">
        <f>IF($E31=0,"",(STIG_Metrics!E31-STIG_Metrics!H31)*$E31)</f>
        <v/>
      </c>
      <c r="R31" s="115" t="str">
        <f>IF($E31=0,"",FLOOR($AC31*3,1)&amp;" Days"&amp;TEXT(SUM($AC31-TIME(8,0,0)*FLOOR($AC31*3,1))," h")&amp;" Hrs")</f>
        <v/>
      </c>
      <c r="S31" s="32" t="str">
        <f>IF($E31=0,"",FLOOR($AD31*3,1)&amp;" Days"&amp;TEXT(SUM($AD31-TIME(8,0,0)*FLOOR($AD31*3,1))," h")&amp;" Hrs")</f>
        <v/>
      </c>
      <c r="T31" s="32" t="str">
        <f>IF($E31=0,"",FLOOR($AE31*3,1)&amp;" Days"&amp;TEXT(SUM($AE31-TIME(8,0,0)*FLOOR($AE31*3,1))," h")&amp;" Hrs")</f>
        <v/>
      </c>
      <c r="U31" s="237" t="str">
        <f>IF($E31=0,"",FLOOR($AF31*3,1)&amp; " Days"&amp;TEXT(SUM($AF31-TIME(8,0,0)*FLOOR($AF31*3,1))," h") &amp; " Hrs")</f>
        <v/>
      </c>
      <c r="V31" s="269" t="str">
        <f>IF($E31=0,"",STIG_Metrics!R31)</f>
        <v/>
      </c>
      <c r="W31" s="33" t="str">
        <f>IF($E31=0,"",STIG_Metrics!S31)</f>
        <v/>
      </c>
      <c r="X31" s="33" t="str">
        <f>IF($E31=0,"",STIG_Metrics!T31)</f>
        <v/>
      </c>
      <c r="Y31" s="34" t="str">
        <f>IF($E31=0,"",((K31*$E$8/60)*$E$7))</f>
        <v/>
      </c>
      <c r="Z31" s="34" t="str">
        <f t="shared" ref="Z31:AB35" si="17">IF($E31=0,"",((O31*$E$8/60)*$E$7))</f>
        <v/>
      </c>
      <c r="AA31" s="34" t="str">
        <f t="shared" si="17"/>
        <v/>
      </c>
      <c r="AB31" s="34" t="str">
        <f t="shared" si="17"/>
        <v/>
      </c>
      <c r="AC31" s="148" t="str">
        <f>IF($E31=0,"",IF(STIG_Metrics!N31=60,0,($E31/STIG_Metrics!N31)/24))</f>
        <v/>
      </c>
      <c r="AD31" s="148" t="str">
        <f>IF($E31=0,"",IF(STIG_Metrics!O31=60,0,($E31/STIG_Metrics!O31)/24))</f>
        <v/>
      </c>
      <c r="AE31" s="148" t="str">
        <f>IF($E31=0,"",IF(STIG_Metrics!P31=60,0,($E31/STIG_Metrics!P31)/24))</f>
        <v/>
      </c>
      <c r="AF31" s="148" t="str">
        <f>IF($E31=0,"",IF(STIG_Metrics!Q31=60,0,($E31/STIG_Metrics!Q31)/24))</f>
        <v/>
      </c>
      <c r="AG31" s="148" t="str">
        <f>IF($E31=0,"",$AD31-$AF31)</f>
        <v/>
      </c>
      <c r="AH31" s="148" t="str">
        <f>IF($E31=0,"",$AE31-$AF31)</f>
        <v/>
      </c>
      <c r="AI31" s="149" t="str">
        <f>IF($E31=0,"",$E31/STIG_Metrics!N31)</f>
        <v/>
      </c>
      <c r="AJ31" s="149" t="str">
        <f>IF($E31=0,"",$E31/STIG_Metrics!O31)</f>
        <v/>
      </c>
      <c r="AK31" s="149" t="str">
        <f>IF($E31=0,"",$E31/STIG_Metrics!P31)</f>
        <v/>
      </c>
      <c r="AL31" s="149" t="str">
        <f>IF($E31=0,"",$E31/STIG_Metrics!Q31)</f>
        <v/>
      </c>
      <c r="AM31" s="111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89"/>
      <c r="AY31" s="239"/>
      <c r="AZ31" s="110"/>
    </row>
    <row r="32" spans="2:52" ht="39.950000000000003" customHeight="1">
      <c r="B32" s="110"/>
      <c r="C32" s="111"/>
      <c r="D32" s="277" t="str">
        <f>(STIG_Metrics!A32)</f>
        <v>Cisco IOS Router RTR</v>
      </c>
      <c r="E32" s="284">
        <v>0</v>
      </c>
      <c r="F32" s="121"/>
      <c r="G32" s="265" t="str">
        <f>IF(E32=0,"",(AG32*24)*4)</f>
        <v/>
      </c>
      <c r="H32" s="266" t="str">
        <f>IF(E32=0,"",PRODUCT($G32,$E$7))</f>
        <v/>
      </c>
      <c r="I32" s="267" t="str">
        <f>IF(E32=0,"",(AH32*24)*4)</f>
        <v/>
      </c>
      <c r="J32" s="268" t="str">
        <f>IF(E32=0,"",PRODUCT($I32,$E$7))</f>
        <v/>
      </c>
      <c r="K32" s="187" t="str">
        <f>IF($E32=0,"",(STIG_Metrics!E32)*$E32)</f>
        <v/>
      </c>
      <c r="L32" s="31" t="str">
        <f>IF($E32=0,"",(STIG_Metrics!F32)*$E32)</f>
        <v/>
      </c>
      <c r="M32" s="47" t="str">
        <f>IF($E32=0,"",(STIG_Metrics!G32)*$E32)</f>
        <v/>
      </c>
      <c r="N32" s="31" t="str">
        <f>IF($E32=0,"",(STIG_Metrics!H32)*$E32)</f>
        <v/>
      </c>
      <c r="O32" s="31" t="str">
        <f>IF($E32=0,"",(STIG_Metrics!E32-STIG_Metrics!F32)*$E32)</f>
        <v/>
      </c>
      <c r="P32" s="31" t="str">
        <f>IF($E32=0,"",(STIG_Metrics!E32-STIG_Metrics!G32)*$E32)</f>
        <v/>
      </c>
      <c r="Q32" s="114" t="str">
        <f>IF($E32=0,"",(STIG_Metrics!E32-STIG_Metrics!H32)*$E32)</f>
        <v/>
      </c>
      <c r="R32" s="115" t="str">
        <f>IF($E32=0,"",FLOOR($AC32*3,1)&amp;" Days"&amp;TEXT(SUM($AC32-TIME(8,0,0)*FLOOR($AC32*3,1))," h")&amp;" Hrs")</f>
        <v/>
      </c>
      <c r="S32" s="32" t="str">
        <f>IF($E32=0,"",FLOOR($AD32*3,1)&amp;" Days"&amp;TEXT(SUM($AD32-TIME(8,0,0)*FLOOR($AD32*3,1))," h")&amp;" Hrs")</f>
        <v/>
      </c>
      <c r="T32" s="32" t="str">
        <f>IF($E32=0,"",FLOOR($AE32*3,1)&amp;" Days"&amp;TEXT(SUM($AE32-TIME(8,0,0)*FLOOR($AE32*3,1))," h")&amp;" Hrs")</f>
        <v/>
      </c>
      <c r="U32" s="237" t="str">
        <f>IF($E32=0,"",FLOOR($AF32*3,1)&amp; " Days"&amp;TEXT(SUM($AF32-TIME(8,0,0)*FLOOR($AF32*3,1))," h") &amp; " Hrs")</f>
        <v/>
      </c>
      <c r="V32" s="269" t="str">
        <f>IF($E32=0,"",STIG_Metrics!R32)</f>
        <v/>
      </c>
      <c r="W32" s="33" t="str">
        <f>IF($E32=0,"",STIG_Metrics!S32)</f>
        <v/>
      </c>
      <c r="X32" s="33" t="str">
        <f>IF($E32=0,"",STIG_Metrics!T32)</f>
        <v/>
      </c>
      <c r="Y32" s="34" t="str">
        <f>IF($E32=0,"",((K32*$E$8/60)*$E$7))</f>
        <v/>
      </c>
      <c r="Z32" s="34" t="str">
        <f t="shared" si="17"/>
        <v/>
      </c>
      <c r="AA32" s="34" t="str">
        <f t="shared" si="17"/>
        <v/>
      </c>
      <c r="AB32" s="34" t="str">
        <f t="shared" si="17"/>
        <v/>
      </c>
      <c r="AC32" s="148" t="str">
        <f>IF($E32=0,"",IF(STIG_Metrics!N32=60,0,($E32/STIG_Metrics!N32)/24))</f>
        <v/>
      </c>
      <c r="AD32" s="148" t="str">
        <f>IF($E32=0,"",IF(STIG_Metrics!O32=60,0,($E32/STIG_Metrics!O32)/24))</f>
        <v/>
      </c>
      <c r="AE32" s="148" t="str">
        <f>IF($E32=0,"",IF(STIG_Metrics!P32=60,0,($E32/STIG_Metrics!P32)/24))</f>
        <v/>
      </c>
      <c r="AF32" s="148" t="str">
        <f>IF($E32=0,"",IF(STIG_Metrics!Q32=60,0,($E32/STIG_Metrics!Q32)/24))</f>
        <v/>
      </c>
      <c r="AG32" s="148" t="str">
        <f>IF($E32=0,"",$AD32-$AF32)</f>
        <v/>
      </c>
      <c r="AH32" s="148" t="str">
        <f>IF($E32=0,"",$AE32-$AF32)</f>
        <v/>
      </c>
      <c r="AI32" s="149" t="str">
        <f>IF($E32=0,"",$E32/STIG_Metrics!N32)</f>
        <v/>
      </c>
      <c r="AJ32" s="149" t="str">
        <f>IF($E32=0,"",$E32/STIG_Metrics!O32)</f>
        <v/>
      </c>
      <c r="AK32" s="149" t="str">
        <f>IF($E32=0,"",$E32/STIG_Metrics!P32)</f>
        <v/>
      </c>
      <c r="AL32" s="149" t="str">
        <f>IF($E32=0,"",$E32/STIG_Metrics!Q32)</f>
        <v/>
      </c>
      <c r="AM32" s="111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89"/>
      <c r="AY32" s="239"/>
      <c r="AZ32" s="110"/>
    </row>
    <row r="33" spans="2:52" ht="39.950000000000003" customHeight="1">
      <c r="B33" s="110"/>
      <c r="C33" s="111"/>
      <c r="D33" s="277" t="str">
        <f>(STIG_Metrics!A33)</f>
        <v>Cisco IOS Switch L2S</v>
      </c>
      <c r="E33" s="284">
        <v>0</v>
      </c>
      <c r="F33" s="121"/>
      <c r="G33" s="265" t="str">
        <f>IF(E33=0,"",(AG33*24)*4)</f>
        <v/>
      </c>
      <c r="H33" s="266" t="str">
        <f>IF(E33=0,"",PRODUCT($G33,$E$7))</f>
        <v/>
      </c>
      <c r="I33" s="267" t="str">
        <f>IF(E33=0,"",(AH33*24)*4)</f>
        <v/>
      </c>
      <c r="J33" s="268" t="str">
        <f>IF(E33=0,"",PRODUCT($I33,$E$7))</f>
        <v/>
      </c>
      <c r="K33" s="187" t="str">
        <f>IF($E33=0,"",(STIG_Metrics!E33)*$E33)</f>
        <v/>
      </c>
      <c r="L33" s="31" t="str">
        <f>IF($E33=0,"",(STIG_Metrics!F33)*$E33)</f>
        <v/>
      </c>
      <c r="M33" s="47" t="str">
        <f>IF($E33=0,"",(STIG_Metrics!G33)*$E33)</f>
        <v/>
      </c>
      <c r="N33" s="31" t="str">
        <f>IF($E33=0,"",(STIG_Metrics!H33)*$E33)</f>
        <v/>
      </c>
      <c r="O33" s="31" t="str">
        <f>IF($E33=0,"",(STIG_Metrics!E33-STIG_Metrics!F33)*$E33)</f>
        <v/>
      </c>
      <c r="P33" s="31" t="str">
        <f>IF($E33=0,"",(STIG_Metrics!E33-STIG_Metrics!G33)*$E33)</f>
        <v/>
      </c>
      <c r="Q33" s="114" t="str">
        <f>IF($E33=0,"",(STIG_Metrics!E33-STIG_Metrics!H33)*$E33)</f>
        <v/>
      </c>
      <c r="R33" s="115" t="str">
        <f>IF($E33=0,"",FLOOR($AC33*3,1)&amp;" Days"&amp;TEXT(SUM($AC33-TIME(8,0,0)*FLOOR($AC33*3,1))," h")&amp;" Hrs")</f>
        <v/>
      </c>
      <c r="S33" s="32" t="str">
        <f>IF($E33=0,"",FLOOR($AD33*3,1)&amp;" Days"&amp;TEXT(SUM($AD33-TIME(8,0,0)*FLOOR($AD33*3,1))," h")&amp;" Hrs")</f>
        <v/>
      </c>
      <c r="T33" s="32" t="str">
        <f>IF($E33=0,"",FLOOR($AE33*3,1)&amp;" Days"&amp;TEXT(SUM($AE33-TIME(8,0,0)*FLOOR($AE33*3,1))," h")&amp;" Hrs")</f>
        <v/>
      </c>
      <c r="U33" s="237" t="str">
        <f>IF($E33=0,"",FLOOR($AF33*3,1)&amp; " Days"&amp;TEXT(SUM($AF33-TIME(8,0,0)*FLOOR($AF33*3,1))," h") &amp; " Hrs")</f>
        <v/>
      </c>
      <c r="V33" s="269" t="str">
        <f>IF($E33=0,"",STIG_Metrics!R33)</f>
        <v/>
      </c>
      <c r="W33" s="33" t="str">
        <f>IF($E33=0,"",STIG_Metrics!S33)</f>
        <v/>
      </c>
      <c r="X33" s="33" t="str">
        <f>IF($E33=0,"",STIG_Metrics!T33)</f>
        <v/>
      </c>
      <c r="Y33" s="34" t="str">
        <f>IF($E33=0,"",((K33*$E$8/60)*$E$7))</f>
        <v/>
      </c>
      <c r="Z33" s="34" t="str">
        <f t="shared" si="17"/>
        <v/>
      </c>
      <c r="AA33" s="34" t="str">
        <f t="shared" si="17"/>
        <v/>
      </c>
      <c r="AB33" s="34" t="str">
        <f t="shared" si="17"/>
        <v/>
      </c>
      <c r="AC33" s="148" t="str">
        <f>IF($E33=0,"",IF(STIG_Metrics!N33=60,0,($E33/STIG_Metrics!N33)/24))</f>
        <v/>
      </c>
      <c r="AD33" s="148" t="str">
        <f>IF($E33=0,"",IF(STIG_Metrics!O33=60,0,($E33/STIG_Metrics!O33)/24))</f>
        <v/>
      </c>
      <c r="AE33" s="148" t="str">
        <f>IF($E33=0,"",IF(STIG_Metrics!P33=60,0,($E33/STIG_Metrics!P33)/24))</f>
        <v/>
      </c>
      <c r="AF33" s="148" t="str">
        <f>IF($E33=0,"",IF(STIG_Metrics!Q33=60,0,($E33/STIG_Metrics!Q33)/24))</f>
        <v/>
      </c>
      <c r="AG33" s="148" t="str">
        <f>IF($E33=0,"",$AD33-$AF33)</f>
        <v/>
      </c>
      <c r="AH33" s="148" t="str">
        <f>IF($E33=0,"",$AE33-$AF33)</f>
        <v/>
      </c>
      <c r="AI33" s="149" t="str">
        <f>IF($E33=0,"",$E33/STIG_Metrics!N33)</f>
        <v/>
      </c>
      <c r="AJ33" s="149" t="str">
        <f>IF($E33=0,"",$E33/STIG_Metrics!O33)</f>
        <v/>
      </c>
      <c r="AK33" s="149" t="str">
        <f>IF($E33=0,"",$E33/STIG_Metrics!P33)</f>
        <v/>
      </c>
      <c r="AL33" s="149" t="str">
        <f>IF($E33=0,"",$E33/STIG_Metrics!Q33)</f>
        <v/>
      </c>
      <c r="AM33" s="111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89"/>
      <c r="AY33" s="239"/>
      <c r="AZ33" s="110"/>
    </row>
    <row r="34" spans="2:52" ht="39.950000000000003" customHeight="1">
      <c r="B34" s="110"/>
      <c r="C34" s="111"/>
      <c r="D34" s="277" t="str">
        <f>(STIG_Metrics!A34)</f>
        <v>Cisco IOS Switch NDM</v>
      </c>
      <c r="E34" s="284">
        <v>0</v>
      </c>
      <c r="F34" s="121"/>
      <c r="G34" s="265" t="str">
        <f>IF(E34=0,"",(AG34*24)*4)</f>
        <v/>
      </c>
      <c r="H34" s="266" t="str">
        <f>IF(E34=0,"",PRODUCT($G34,$E$7))</f>
        <v/>
      </c>
      <c r="I34" s="267" t="str">
        <f>IF(E34=0,"",(AH34*24)*4)</f>
        <v/>
      </c>
      <c r="J34" s="268" t="str">
        <f>IF(E34=0,"",PRODUCT($I34,$E$7))</f>
        <v/>
      </c>
      <c r="K34" s="187" t="str">
        <f>IF($E34=0,"",(STIG_Metrics!E34)*$E34)</f>
        <v/>
      </c>
      <c r="L34" s="31" t="str">
        <f>IF($E34=0,"",(STIG_Metrics!F34)*$E34)</f>
        <v/>
      </c>
      <c r="M34" s="47" t="str">
        <f>IF($E34=0,"",(STIG_Metrics!G34)*$E34)</f>
        <v/>
      </c>
      <c r="N34" s="31" t="str">
        <f>IF($E34=0,"",(STIG_Metrics!H34)*$E34)</f>
        <v/>
      </c>
      <c r="O34" s="31" t="str">
        <f>IF($E34=0,"",(STIG_Metrics!E34-STIG_Metrics!F34)*$E34)</f>
        <v/>
      </c>
      <c r="P34" s="31" t="str">
        <f>IF($E34=0,"",(STIG_Metrics!E34-STIG_Metrics!G34)*$E34)</f>
        <v/>
      </c>
      <c r="Q34" s="114" t="str">
        <f>IF($E34=0,"",(STIG_Metrics!E34-STIG_Metrics!H34)*$E34)</f>
        <v/>
      </c>
      <c r="R34" s="115" t="str">
        <f>IF($E34=0,"",FLOOR($AC34*3,1)&amp;" Days"&amp;TEXT(SUM($AC34-TIME(8,0,0)*FLOOR($AC34*3,1))," h")&amp;" Hrs")</f>
        <v/>
      </c>
      <c r="S34" s="32" t="str">
        <f>IF($E34=0,"",FLOOR($AD34*3,1)&amp;" Days"&amp;TEXT(SUM($AD34-TIME(8,0,0)*FLOOR($AD34*3,1))," h")&amp;" Hrs")</f>
        <v/>
      </c>
      <c r="T34" s="32" t="str">
        <f>IF($E34=0,"",FLOOR($AE34*3,1)&amp;" Days"&amp;TEXT(SUM($AE34-TIME(8,0,0)*FLOOR($AE34*3,1))," h")&amp;" Hrs")</f>
        <v/>
      </c>
      <c r="U34" s="237" t="str">
        <f>IF($E34=0,"",FLOOR($AF34*3,1)&amp; " Days"&amp;TEXT(SUM($AF34-TIME(8,0,0)*FLOOR($AF34*3,1))," h") &amp; " Hrs")</f>
        <v/>
      </c>
      <c r="V34" s="269" t="str">
        <f>IF($E34=0,"",STIG_Metrics!R34)</f>
        <v/>
      </c>
      <c r="W34" s="33" t="str">
        <f>IF($E34=0,"",STIG_Metrics!S34)</f>
        <v/>
      </c>
      <c r="X34" s="33" t="str">
        <f>IF($E34=0,"",STIG_Metrics!T34)</f>
        <v/>
      </c>
      <c r="Y34" s="34" t="str">
        <f>IF($E34=0,"",((K34*$E$8/60)*$E$7))</f>
        <v/>
      </c>
      <c r="Z34" s="34" t="str">
        <f t="shared" si="17"/>
        <v/>
      </c>
      <c r="AA34" s="34" t="str">
        <f t="shared" si="17"/>
        <v/>
      </c>
      <c r="AB34" s="34" t="str">
        <f t="shared" si="17"/>
        <v/>
      </c>
      <c r="AC34" s="148" t="str">
        <f>IF($E34=0,"",IF(STIG_Metrics!N34=60,0,($E34/STIG_Metrics!N34)/24))</f>
        <v/>
      </c>
      <c r="AD34" s="148" t="str">
        <f>IF($E34=0,"",IF(STIG_Metrics!O34=60,0,($E34/STIG_Metrics!O34)/24))</f>
        <v/>
      </c>
      <c r="AE34" s="148" t="str">
        <f>IF($E34=0,"",IF(STIG_Metrics!P34=60,0,($E34/STIG_Metrics!P34)/24))</f>
        <v/>
      </c>
      <c r="AF34" s="148" t="str">
        <f>IF($E34=0,"",IF(STIG_Metrics!Q34=60,0,($E34/STIG_Metrics!Q34)/24))</f>
        <v/>
      </c>
      <c r="AG34" s="148" t="str">
        <f>IF($E34=0,"",$AD34-$AF34)</f>
        <v/>
      </c>
      <c r="AH34" s="148" t="str">
        <f>IF($E34=0,"",$AE34-$AF34)</f>
        <v/>
      </c>
      <c r="AI34" s="149" t="str">
        <f>IF($E34=0,"",$E34/STIG_Metrics!N34)</f>
        <v/>
      </c>
      <c r="AJ34" s="149" t="str">
        <f>IF($E34=0,"",$E34/STIG_Metrics!O34)</f>
        <v/>
      </c>
      <c r="AK34" s="149" t="str">
        <f>IF($E34=0,"",$E34/STIG_Metrics!P34)</f>
        <v/>
      </c>
      <c r="AL34" s="149" t="str">
        <f>IF($E34=0,"",$E34/STIG_Metrics!Q34)</f>
        <v/>
      </c>
      <c r="AM34" s="111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89"/>
      <c r="AY34" s="239"/>
      <c r="AZ34" s="110"/>
    </row>
    <row r="35" spans="2:52" ht="39.950000000000003" customHeight="1">
      <c r="B35" s="110"/>
      <c r="C35" s="111"/>
      <c r="D35" s="277" t="str">
        <f>(STIG_Metrics!A35)</f>
        <v>Cisco IOS Switch RTR</v>
      </c>
      <c r="E35" s="284">
        <v>0</v>
      </c>
      <c r="F35" s="121"/>
      <c r="G35" s="265" t="str">
        <f>IF(E35=0,"",(AG35*24)*4)</f>
        <v/>
      </c>
      <c r="H35" s="266" t="str">
        <f>IF(E35=0,"",PRODUCT($G35,$E$7))</f>
        <v/>
      </c>
      <c r="I35" s="267" t="str">
        <f>IF(E35=0,"",(AH35*24)*4)</f>
        <v/>
      </c>
      <c r="J35" s="268" t="str">
        <f>IF(E35=0,"",PRODUCT($I35,$E$7))</f>
        <v/>
      </c>
      <c r="K35" s="187" t="str">
        <f>IF($E35=0,"",(STIG_Metrics!E35)*$E35)</f>
        <v/>
      </c>
      <c r="L35" s="31" t="str">
        <f>IF($E35=0,"",(STIG_Metrics!F35)*$E35)</f>
        <v/>
      </c>
      <c r="M35" s="47" t="str">
        <f>IF($E35=0,"",(STIG_Metrics!G35)*$E35)</f>
        <v/>
      </c>
      <c r="N35" s="31" t="str">
        <f>IF($E35=0,"",(STIG_Metrics!H35)*$E35)</f>
        <v/>
      </c>
      <c r="O35" s="31" t="str">
        <f>IF($E35=0,"",(STIG_Metrics!E35-STIG_Metrics!F35)*$E35)</f>
        <v/>
      </c>
      <c r="P35" s="31" t="str">
        <f>IF($E35=0,"",(STIG_Metrics!E35-STIG_Metrics!G35)*$E35)</f>
        <v/>
      </c>
      <c r="Q35" s="114" t="str">
        <f>IF($E35=0,"",(STIG_Metrics!E35-STIG_Metrics!H35)*$E35)</f>
        <v/>
      </c>
      <c r="R35" s="115" t="str">
        <f>IF($E35=0,"",FLOOR($AC35*3,1)&amp;" Days"&amp;TEXT(SUM($AC35-TIME(8,0,0)*FLOOR($AC35*3,1))," h")&amp;" Hrs")</f>
        <v/>
      </c>
      <c r="S35" s="32" t="str">
        <f>IF($E35=0,"",FLOOR($AD35*3,1)&amp;" Days"&amp;TEXT(SUM($AD35-TIME(8,0,0)*FLOOR($AD35*3,1))," h")&amp;" Hrs")</f>
        <v/>
      </c>
      <c r="T35" s="32" t="str">
        <f>IF($E35=0,"",FLOOR($AE35*3,1)&amp;" Days"&amp;TEXT(SUM($AE35-TIME(8,0,0)*FLOOR($AE35*3,1))," h")&amp;" Hrs")</f>
        <v/>
      </c>
      <c r="U35" s="237" t="str">
        <f>IF($E35=0,"",FLOOR($AF35*3,1)&amp; " Days"&amp;TEXT(SUM($AF35-TIME(8,0,0)*FLOOR($AF35*3,1))," h") &amp; " Hrs")</f>
        <v/>
      </c>
      <c r="V35" s="269" t="str">
        <f>IF($E35=0,"",STIG_Metrics!R35)</f>
        <v/>
      </c>
      <c r="W35" s="33" t="str">
        <f>IF($E35=0,"",STIG_Metrics!S35)</f>
        <v/>
      </c>
      <c r="X35" s="33" t="str">
        <f>IF($E35=0,"",STIG_Metrics!T35)</f>
        <v/>
      </c>
      <c r="Y35" s="34" t="str">
        <f>IF($E35=0,"",((K35*$E$8/60)*$E$7))</f>
        <v/>
      </c>
      <c r="Z35" s="34" t="str">
        <f t="shared" si="17"/>
        <v/>
      </c>
      <c r="AA35" s="34" t="str">
        <f t="shared" si="17"/>
        <v/>
      </c>
      <c r="AB35" s="34" t="str">
        <f t="shared" si="17"/>
        <v/>
      </c>
      <c r="AC35" s="148" t="str">
        <f>IF($E35=0,"",IF(STIG_Metrics!N35=60,0,($E35/STIG_Metrics!N35)/24))</f>
        <v/>
      </c>
      <c r="AD35" s="148" t="str">
        <f>IF($E35=0,"",IF(STIG_Metrics!O35=60,0,($E35/STIG_Metrics!O35)/24))</f>
        <v/>
      </c>
      <c r="AE35" s="148" t="str">
        <f>IF($E35=0,"",IF(STIG_Metrics!P35=60,0,($E35/STIG_Metrics!P35)/24))</f>
        <v/>
      </c>
      <c r="AF35" s="148" t="str">
        <f>IF($E35=0,"",IF(STIG_Metrics!Q35=60,0,($E35/STIG_Metrics!Q35)/24))</f>
        <v/>
      </c>
      <c r="AG35" s="148" t="str">
        <f>IF($E35=0,"",$AD35-$AF35)</f>
        <v/>
      </c>
      <c r="AH35" s="148" t="str">
        <f>IF($E35=0,"",$AE35-$AF35)</f>
        <v/>
      </c>
      <c r="AI35" s="149" t="str">
        <f>IF($E35=0,"",$E35/STIG_Metrics!N35)</f>
        <v/>
      </c>
      <c r="AJ35" s="149" t="str">
        <f>IF($E35=0,"",$E35/STIG_Metrics!O35)</f>
        <v/>
      </c>
      <c r="AK35" s="149" t="str">
        <f>IF($E35=0,"",$E35/STIG_Metrics!P35)</f>
        <v/>
      </c>
      <c r="AL35" s="149" t="str">
        <f>IF($E35=0,"",$E35/STIG_Metrics!Q35)</f>
        <v/>
      </c>
      <c r="AM35" s="111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89"/>
      <c r="AY35" s="239"/>
      <c r="AZ35" s="110"/>
    </row>
    <row r="36" spans="2:52" ht="39.950000000000003" customHeight="1">
      <c r="B36" s="110"/>
      <c r="C36" s="111"/>
      <c r="D36" s="277" t="str">
        <f>(STIG_Metrics!A36)</f>
        <v>Cisco IOS XE Router NDM</v>
      </c>
      <c r="E36" s="218">
        <v>0</v>
      </c>
      <c r="F36" s="121"/>
      <c r="G36" s="118" t="str">
        <f t="shared" si="1"/>
        <v/>
      </c>
      <c r="H36" s="122" t="str">
        <f t="shared" si="10"/>
        <v/>
      </c>
      <c r="I36" s="123" t="str">
        <f t="shared" si="2"/>
        <v/>
      </c>
      <c r="J36" s="182" t="str">
        <f t="shared" si="11"/>
        <v/>
      </c>
      <c r="K36" s="187" t="str">
        <f>IF($E36=0,"",(STIG_Metrics!E36)*$E36)</f>
        <v/>
      </c>
      <c r="L36" s="31" t="str">
        <f>IF($E36=0,"",(STIG_Metrics!F36)*$E36)</f>
        <v/>
      </c>
      <c r="M36" s="47" t="str">
        <f>IF($E36=0,"",(STIG_Metrics!G36)*$E36)</f>
        <v/>
      </c>
      <c r="N36" s="31" t="str">
        <f>IF($E36=0,"",(STIG_Metrics!H36)*$E36)</f>
        <v/>
      </c>
      <c r="O36" s="31" t="str">
        <f>IF($E36=0,"",(STIG_Metrics!E36-STIG_Metrics!F36)*$E36)</f>
        <v/>
      </c>
      <c r="P36" s="47" t="str">
        <f>IF($E36=0,"",(STIG_Metrics!E36-STIG_Metrics!G36)*$E36)</f>
        <v/>
      </c>
      <c r="Q36" s="114" t="str">
        <f>IF($E36=0,"",(STIG_Metrics!E36-STIG_Metrics!H36)*$E36)</f>
        <v/>
      </c>
      <c r="R36" s="115" t="str">
        <f t="shared" si="3"/>
        <v/>
      </c>
      <c r="S36" s="32" t="str">
        <f t="shared" si="4"/>
        <v/>
      </c>
      <c r="T36" s="48" t="str">
        <f t="shared" si="5"/>
        <v/>
      </c>
      <c r="U36" s="237" t="str">
        <f t="shared" si="6"/>
        <v/>
      </c>
      <c r="V36" s="125" t="str">
        <f>IF($E36=0,"",STIG_Metrics!R36)</f>
        <v/>
      </c>
      <c r="W36" s="49" t="str">
        <f>IF($E36=0,"",STIG_Metrics!S36)</f>
        <v/>
      </c>
      <c r="X36" s="33" t="str">
        <f>IF($E36=0,"",STIG_Metrics!T36)</f>
        <v/>
      </c>
      <c r="Y36" s="34" t="str">
        <f t="shared" si="7"/>
        <v/>
      </c>
      <c r="Z36" s="34" t="str">
        <f t="shared" si="12"/>
        <v/>
      </c>
      <c r="AA36" s="50" t="str">
        <f t="shared" si="13"/>
        <v/>
      </c>
      <c r="AB36" s="34" t="str">
        <f t="shared" si="14"/>
        <v/>
      </c>
      <c r="AC36" s="207" t="str">
        <f>IF($E36=0,"",IF(STIG_Metrics!N36=60,0,($E36/STIG_Metrics!N36)/24))</f>
        <v/>
      </c>
      <c r="AD36" s="146" t="str">
        <f>IF($E36=0,"",IF(STIG_Metrics!O36=60,0,($E36/STIG_Metrics!O36)/24))</f>
        <v/>
      </c>
      <c r="AE36" s="146" t="str">
        <f>IF($E36=0,"",IF(STIG_Metrics!P36=60,0,($E36/STIG_Metrics!P36)/24))</f>
        <v/>
      </c>
      <c r="AF36" s="146" t="str">
        <f>IF($E36=0,"",IF(STIG_Metrics!Q36=60,0,($E36/STIG_Metrics!Q36)/24))</f>
        <v/>
      </c>
      <c r="AG36" s="146" t="str">
        <f t="shared" si="8"/>
        <v/>
      </c>
      <c r="AH36" s="146" t="str">
        <f t="shared" si="9"/>
        <v/>
      </c>
      <c r="AI36" s="147" t="str">
        <f>IF($E36=0,"",$E36/STIG_Metrics!N36)</f>
        <v/>
      </c>
      <c r="AJ36" s="147" t="str">
        <f>IF($E36=0,"",$E36/STIG_Metrics!O36)</f>
        <v/>
      </c>
      <c r="AK36" s="147" t="str">
        <f>IF($E36=0,"",$E36/STIG_Metrics!P36)</f>
        <v/>
      </c>
      <c r="AL36" s="147" t="str">
        <f>IF($E36=0,"",$E36/STIG_Metrics!Q36)</f>
        <v/>
      </c>
      <c r="AM36" s="111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89"/>
      <c r="AY36" s="239"/>
      <c r="AZ36" s="110"/>
    </row>
    <row r="37" spans="2:52" ht="39.950000000000003" customHeight="1">
      <c r="B37" s="110"/>
      <c r="C37" s="111"/>
      <c r="D37" s="277" t="str">
        <f>(STIG_Metrics!A37)</f>
        <v>Cisco IOS XE Router RTR</v>
      </c>
      <c r="E37" s="284">
        <v>0</v>
      </c>
      <c r="F37" s="121"/>
      <c r="G37" s="265" t="str">
        <f>IF(E37=0,"",(AG37*24)*4)</f>
        <v/>
      </c>
      <c r="H37" s="266" t="str">
        <f>IF(E37=0,"",PRODUCT($G37,$E$7))</f>
        <v/>
      </c>
      <c r="I37" s="267" t="str">
        <f>IF(E37=0,"",(AH37*24)*4)</f>
        <v/>
      </c>
      <c r="J37" s="268" t="str">
        <f>IF(E37=0,"",PRODUCT($I37,$E$7))</f>
        <v/>
      </c>
      <c r="K37" s="187" t="str">
        <f>IF($E37=0,"",(STIG_Metrics!E37)*$E37)</f>
        <v/>
      </c>
      <c r="L37" s="31" t="str">
        <f>IF($E37=0,"",(STIG_Metrics!F37)*$E37)</f>
        <v/>
      </c>
      <c r="M37" s="47" t="str">
        <f>IF($E37=0,"",(STIG_Metrics!G37)*$E37)</f>
        <v/>
      </c>
      <c r="N37" s="31" t="str">
        <f>IF($E37=0,"",(STIG_Metrics!H37)*$E37)</f>
        <v/>
      </c>
      <c r="O37" s="31" t="str">
        <f>IF($E37=0,"",(STIG_Metrics!E37-STIG_Metrics!F37)*$E37)</f>
        <v/>
      </c>
      <c r="P37" s="31" t="str">
        <f>IF($E37=0,"",(STIG_Metrics!E37-STIG_Metrics!G37)*$E37)</f>
        <v/>
      </c>
      <c r="Q37" s="114" t="str">
        <f>IF($E37=0,"",(STIG_Metrics!E37-STIG_Metrics!H37)*$E37)</f>
        <v/>
      </c>
      <c r="R37" s="115" t="str">
        <f>IF($E37=0,"",FLOOR($AC37*3,1)&amp;" Days"&amp;TEXT(SUM($AC37-TIME(8,0,0)*FLOOR($AC37*3,1))," h")&amp;" Hrs")</f>
        <v/>
      </c>
      <c r="S37" s="32" t="str">
        <f>IF($E37=0,"",FLOOR($AD37*3,1)&amp;" Days"&amp;TEXT(SUM($AD37-TIME(8,0,0)*FLOOR($AD37*3,1))," h")&amp;" Hrs")</f>
        <v/>
      </c>
      <c r="T37" s="32" t="str">
        <f>IF($E37=0,"",FLOOR($AE37*3,1)&amp;" Days"&amp;TEXT(SUM($AE37-TIME(8,0,0)*FLOOR($AE37*3,1))," h")&amp;" Hrs")</f>
        <v/>
      </c>
      <c r="U37" s="237" t="str">
        <f>IF($E37=0,"",FLOOR($AF37*3,1)&amp; " Days"&amp;TEXT(SUM($AF37-TIME(8,0,0)*FLOOR($AF37*3,1))," h") &amp; " Hrs")</f>
        <v/>
      </c>
      <c r="V37" s="269" t="str">
        <f>IF($E37=0,"",STIG_Metrics!R37)</f>
        <v/>
      </c>
      <c r="W37" s="33" t="str">
        <f>IF($E37=0,"",STIG_Metrics!S37)</f>
        <v/>
      </c>
      <c r="X37" s="33" t="str">
        <f>IF($E37=0,"",STIG_Metrics!T37)</f>
        <v/>
      </c>
      <c r="Y37" s="34" t="str">
        <f>IF($E37=0,"",((K37*$E$8/60)*$E$7))</f>
        <v/>
      </c>
      <c r="Z37" s="34" t="str">
        <f>IF($E37=0,"",((O37*$E$8/60)*$E$7))</f>
        <v/>
      </c>
      <c r="AA37" s="34" t="str">
        <f>IF($E37=0,"",((P37*$E$8/60)*$E$7))</f>
        <v/>
      </c>
      <c r="AB37" s="34" t="str">
        <f>IF($E37=0,"",((Q37*$E$8/60)*$E$7))</f>
        <v/>
      </c>
      <c r="AC37" s="148" t="str">
        <f>IF($E37=0,"",IF(STIG_Metrics!N37=60,0,($E37/STIG_Metrics!N37)/24))</f>
        <v/>
      </c>
      <c r="AD37" s="148" t="str">
        <f>IF($E37=0,"",IF(STIG_Metrics!O37=60,0,($E37/STIG_Metrics!O37)/24))</f>
        <v/>
      </c>
      <c r="AE37" s="148" t="str">
        <f>IF($E37=0,"",IF(STIG_Metrics!P37=60,0,($E37/STIG_Metrics!P37)/24))</f>
        <v/>
      </c>
      <c r="AF37" s="148" t="str">
        <f>IF($E37=0,"",IF(STIG_Metrics!Q37=60,0,($E37/STIG_Metrics!Q37)/24))</f>
        <v/>
      </c>
      <c r="AG37" s="148" t="str">
        <f>IF($E37=0,"",$AD37-$AF37)</f>
        <v/>
      </c>
      <c r="AH37" s="148" t="str">
        <f>IF($E37=0,"",$AE37-$AF37)</f>
        <v/>
      </c>
      <c r="AI37" s="149" t="str">
        <f>IF($E37=0,"",$E37/STIG_Metrics!N37)</f>
        <v/>
      </c>
      <c r="AJ37" s="149" t="str">
        <f>IF($E37=0,"",$E37/STIG_Metrics!O37)</f>
        <v/>
      </c>
      <c r="AK37" s="149" t="str">
        <f>IF($E37=0,"",$E37/STIG_Metrics!P37)</f>
        <v/>
      </c>
      <c r="AL37" s="149" t="str">
        <f>IF($E37=0,"",$E37/STIG_Metrics!Q37)</f>
        <v/>
      </c>
      <c r="AM37" s="111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89"/>
      <c r="AY37" s="239"/>
      <c r="AZ37" s="110"/>
    </row>
    <row r="38" spans="2:52" ht="39.950000000000003" customHeight="1">
      <c r="B38" s="110"/>
      <c r="C38" s="111"/>
      <c r="D38" s="277" t="str">
        <f>(STIG_Metrics!A38)</f>
        <v>Cisco IOS XE Switch L2S</v>
      </c>
      <c r="E38" s="218">
        <v>0</v>
      </c>
      <c r="F38" s="121"/>
      <c r="G38" s="118" t="str">
        <f t="shared" si="1"/>
        <v/>
      </c>
      <c r="H38" s="122" t="str">
        <f t="shared" si="10"/>
        <v/>
      </c>
      <c r="I38" s="123" t="str">
        <f t="shared" si="2"/>
        <v/>
      </c>
      <c r="J38" s="182" t="str">
        <f t="shared" si="11"/>
        <v/>
      </c>
      <c r="K38" s="187" t="str">
        <f>IF($E38=0,"",(STIG_Metrics!E38)*$E38)</f>
        <v/>
      </c>
      <c r="L38" s="31" t="str">
        <f>IF($E38=0,"",(STIG_Metrics!F38)*$E38)</f>
        <v/>
      </c>
      <c r="M38" s="47" t="str">
        <f>IF($E38=0,"",(STIG_Metrics!G38)*$E38)</f>
        <v/>
      </c>
      <c r="N38" s="31" t="str">
        <f>IF($E38=0,"",(STIG_Metrics!H38)*$E38)</f>
        <v/>
      </c>
      <c r="O38" s="31" t="str">
        <f>IF($E38=0,"",(STIG_Metrics!E38-STIG_Metrics!F38)*$E38)</f>
        <v/>
      </c>
      <c r="P38" s="47" t="str">
        <f>IF($E38=0,"",(STIG_Metrics!E38-STIG_Metrics!G38)*$E38)</f>
        <v/>
      </c>
      <c r="Q38" s="114" t="str">
        <f>IF($E38=0,"",(STIG_Metrics!E38-STIG_Metrics!H38)*$E38)</f>
        <v/>
      </c>
      <c r="R38" s="115" t="str">
        <f t="shared" si="3"/>
        <v/>
      </c>
      <c r="S38" s="32" t="str">
        <f t="shared" si="4"/>
        <v/>
      </c>
      <c r="T38" s="48" t="str">
        <f t="shared" si="5"/>
        <v/>
      </c>
      <c r="U38" s="237" t="str">
        <f t="shared" si="6"/>
        <v/>
      </c>
      <c r="V38" s="125" t="str">
        <f>IF($E38=0,"",STIG_Metrics!R38)</f>
        <v/>
      </c>
      <c r="W38" s="49" t="str">
        <f>IF($E38=0,"",STIG_Metrics!S38)</f>
        <v/>
      </c>
      <c r="X38" s="33" t="str">
        <f>IF($E38=0,"",STIG_Metrics!T38)</f>
        <v/>
      </c>
      <c r="Y38" s="34" t="str">
        <f t="shared" si="7"/>
        <v/>
      </c>
      <c r="Z38" s="34" t="str">
        <f t="shared" si="12"/>
        <v/>
      </c>
      <c r="AA38" s="50" t="str">
        <f t="shared" si="13"/>
        <v/>
      </c>
      <c r="AB38" s="34" t="str">
        <f t="shared" si="14"/>
        <v/>
      </c>
      <c r="AC38" s="207" t="str">
        <f>IF($E38=0,"",IF(STIG_Metrics!N38=60,0,($E38/STIG_Metrics!N38)/24))</f>
        <v/>
      </c>
      <c r="AD38" s="146" t="str">
        <f>IF($E38=0,"",IF(STIG_Metrics!O38=60,0,($E38/STIG_Metrics!O38)/24))</f>
        <v/>
      </c>
      <c r="AE38" s="146" t="str">
        <f>IF($E38=0,"",IF(STIG_Metrics!P38=60,0,($E38/STIG_Metrics!P38)/24))</f>
        <v/>
      </c>
      <c r="AF38" s="146" t="str">
        <f>IF($E38=0,"",IF(STIG_Metrics!Q38=60,0,($E38/STIG_Metrics!Q38)/24))</f>
        <v/>
      </c>
      <c r="AG38" s="146" t="str">
        <f t="shared" si="8"/>
        <v/>
      </c>
      <c r="AH38" s="146" t="str">
        <f t="shared" si="9"/>
        <v/>
      </c>
      <c r="AI38" s="147" t="str">
        <f>IF($E38=0,"",$E38/STIG_Metrics!N38)</f>
        <v/>
      </c>
      <c r="AJ38" s="147" t="str">
        <f>IF($E38=0,"",$E38/STIG_Metrics!O38)</f>
        <v/>
      </c>
      <c r="AK38" s="147" t="str">
        <f>IF($E38=0,"",$E38/STIG_Metrics!P38)</f>
        <v/>
      </c>
      <c r="AL38" s="147" t="str">
        <f>IF($E38=0,"",$E38/STIG_Metrics!Q38)</f>
        <v/>
      </c>
      <c r="AM38" s="111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89"/>
      <c r="AY38" s="239"/>
      <c r="AZ38" s="110"/>
    </row>
    <row r="39" spans="2:52" ht="39.950000000000003" customHeight="1">
      <c r="B39" s="110"/>
      <c r="C39" s="111"/>
      <c r="D39" s="277" t="str">
        <f>(STIG_Metrics!A39)</f>
        <v>Cisco IOS XE Switch NDM</v>
      </c>
      <c r="E39" s="218">
        <v>0</v>
      </c>
      <c r="F39" s="121"/>
      <c r="G39" s="118" t="str">
        <f t="shared" si="1"/>
        <v/>
      </c>
      <c r="H39" s="122" t="str">
        <f t="shared" si="10"/>
        <v/>
      </c>
      <c r="I39" s="123" t="str">
        <f t="shared" si="2"/>
        <v/>
      </c>
      <c r="J39" s="182" t="str">
        <f t="shared" si="11"/>
        <v/>
      </c>
      <c r="K39" s="187" t="str">
        <f>IF($E39=0,"",(STIG_Metrics!E39)*$E39)</f>
        <v/>
      </c>
      <c r="L39" s="31" t="str">
        <f>IF($E39=0,"",(STIG_Metrics!F39)*$E39)</f>
        <v/>
      </c>
      <c r="M39" s="47" t="str">
        <f>IF($E39=0,"",(STIG_Metrics!G39)*$E39)</f>
        <v/>
      </c>
      <c r="N39" s="31" t="str">
        <f>IF($E39=0,"",(STIG_Metrics!H39)*$E39)</f>
        <v/>
      </c>
      <c r="O39" s="31" t="str">
        <f>IF($E39=0,"",(STIG_Metrics!E39-STIG_Metrics!F39)*$E39)</f>
        <v/>
      </c>
      <c r="P39" s="47" t="str">
        <f>IF($E39=0,"",(STIG_Metrics!E39-STIG_Metrics!G39)*$E39)</f>
        <v/>
      </c>
      <c r="Q39" s="114" t="str">
        <f>IF($E39=0,"",(STIG_Metrics!E39-STIG_Metrics!H39)*$E39)</f>
        <v/>
      </c>
      <c r="R39" s="115" t="str">
        <f t="shared" si="3"/>
        <v/>
      </c>
      <c r="S39" s="32" t="str">
        <f t="shared" si="4"/>
        <v/>
      </c>
      <c r="T39" s="48" t="str">
        <f t="shared" si="5"/>
        <v/>
      </c>
      <c r="U39" s="237" t="str">
        <f t="shared" si="6"/>
        <v/>
      </c>
      <c r="V39" s="125" t="str">
        <f>IF($E39=0,"",STIG_Metrics!R39)</f>
        <v/>
      </c>
      <c r="W39" s="49" t="str">
        <f>IF($E39=0,"",STIG_Metrics!S39)</f>
        <v/>
      </c>
      <c r="X39" s="33" t="str">
        <f>IF($E39=0,"",STIG_Metrics!T39)</f>
        <v/>
      </c>
      <c r="Y39" s="34" t="str">
        <f t="shared" si="7"/>
        <v/>
      </c>
      <c r="Z39" s="34" t="str">
        <f t="shared" si="12"/>
        <v/>
      </c>
      <c r="AA39" s="50" t="str">
        <f t="shared" si="13"/>
        <v/>
      </c>
      <c r="AB39" s="34" t="str">
        <f t="shared" si="14"/>
        <v/>
      </c>
      <c r="AC39" s="207" t="str">
        <f>IF($E39=0,"",IF(STIG_Metrics!N39=60,0,($E39/STIG_Metrics!N39)/24))</f>
        <v/>
      </c>
      <c r="AD39" s="146" t="str">
        <f>IF($E39=0,"",IF(STIG_Metrics!O39=60,0,($E39/STIG_Metrics!O39)/24))</f>
        <v/>
      </c>
      <c r="AE39" s="146" t="str">
        <f>IF($E39=0,"",IF(STIG_Metrics!P39=60,0,($E39/STIG_Metrics!P39)/24))</f>
        <v/>
      </c>
      <c r="AF39" s="146" t="str">
        <f>IF($E39=0,"",IF(STIG_Metrics!Q39=60,0,($E39/STIG_Metrics!Q39)/24))</f>
        <v/>
      </c>
      <c r="AG39" s="146" t="str">
        <f t="shared" si="8"/>
        <v/>
      </c>
      <c r="AH39" s="146" t="str">
        <f t="shared" si="9"/>
        <v/>
      </c>
      <c r="AI39" s="147" t="str">
        <f>IF($E39=0,"",$E39/STIG_Metrics!N39)</f>
        <v/>
      </c>
      <c r="AJ39" s="147" t="str">
        <f>IF($E39=0,"",$E39/STIG_Metrics!O39)</f>
        <v/>
      </c>
      <c r="AK39" s="147" t="str">
        <f>IF($E39=0,"",$E39/STIG_Metrics!P39)</f>
        <v/>
      </c>
      <c r="AL39" s="147" t="str">
        <f>IF($E39=0,"",$E39/STIG_Metrics!Q39)</f>
        <v/>
      </c>
      <c r="AM39" s="111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89"/>
      <c r="AY39" s="239"/>
      <c r="AZ39" s="110"/>
    </row>
    <row r="40" spans="2:52" ht="39.950000000000003" customHeight="1">
      <c r="B40" s="110"/>
      <c r="C40" s="111"/>
      <c r="D40" s="277" t="str">
        <f>(STIG_Metrics!A40)</f>
        <v>Cisco IOS XE Switch RTR</v>
      </c>
      <c r="E40" s="284">
        <v>0</v>
      </c>
      <c r="F40" s="121"/>
      <c r="G40" s="265" t="str">
        <f>IF(E40=0,"",(AG40*24)*4)</f>
        <v/>
      </c>
      <c r="H40" s="266" t="str">
        <f>IF(E40=0,"",PRODUCT($G40,$E$7))</f>
        <v/>
      </c>
      <c r="I40" s="267" t="str">
        <f>IF(E40=0,"",(AH40*24)*4)</f>
        <v/>
      </c>
      <c r="J40" s="268" t="str">
        <f>IF(E40=0,"",PRODUCT($I40,$E$7))</f>
        <v/>
      </c>
      <c r="K40" s="187" t="str">
        <f>IF($E40=0,"",(STIG_Metrics!E40)*$E40)</f>
        <v/>
      </c>
      <c r="L40" s="31" t="str">
        <f>IF($E40=0,"",(STIG_Metrics!F40)*$E40)</f>
        <v/>
      </c>
      <c r="M40" s="47" t="str">
        <f>IF($E40=0,"",(STIG_Metrics!G40)*$E40)</f>
        <v/>
      </c>
      <c r="N40" s="31" t="str">
        <f>IF($E40=0,"",(STIG_Metrics!H40)*$E40)</f>
        <v/>
      </c>
      <c r="O40" s="31" t="str">
        <f>IF($E40=0,"",(STIG_Metrics!E40-STIG_Metrics!F40)*$E40)</f>
        <v/>
      </c>
      <c r="P40" s="31" t="str">
        <f>IF($E40=0,"",(STIG_Metrics!E40-STIG_Metrics!G40)*$E40)</f>
        <v/>
      </c>
      <c r="Q40" s="114" t="str">
        <f>IF($E40=0,"",(STIG_Metrics!E40-STIG_Metrics!H40)*$E40)</f>
        <v/>
      </c>
      <c r="R40" s="115" t="str">
        <f>IF($E40=0,"",FLOOR($AC40*3,1)&amp;" Days"&amp;TEXT(SUM($AC40-TIME(8,0,0)*FLOOR($AC40*3,1))," h")&amp;" Hrs")</f>
        <v/>
      </c>
      <c r="S40" s="32" t="str">
        <f>IF($E40=0,"",FLOOR($AD40*3,1)&amp;" Days"&amp;TEXT(SUM($AD40-TIME(8,0,0)*FLOOR($AD40*3,1))," h")&amp;" Hrs")</f>
        <v/>
      </c>
      <c r="T40" s="32" t="str">
        <f>IF($E40=0,"",FLOOR($AE40*3,1)&amp;" Days"&amp;TEXT(SUM($AE40-TIME(8,0,0)*FLOOR($AE40*3,1))," h")&amp;" Hrs")</f>
        <v/>
      </c>
      <c r="U40" s="237" t="str">
        <f>IF($E40=0,"",FLOOR($AF40*3,1)&amp; " Days"&amp;TEXT(SUM($AF40-TIME(8,0,0)*FLOOR($AF40*3,1))," h") &amp; " Hrs")</f>
        <v/>
      </c>
      <c r="V40" s="269" t="str">
        <f>IF($E40=0,"",STIG_Metrics!R40)</f>
        <v/>
      </c>
      <c r="W40" s="33" t="str">
        <f>IF($E40=0,"",STIG_Metrics!S40)</f>
        <v/>
      </c>
      <c r="X40" s="33" t="str">
        <f>IF($E40=0,"",STIG_Metrics!T40)</f>
        <v/>
      </c>
      <c r="Y40" s="34" t="str">
        <f>IF($E40=0,"",((K40*$E$8/60)*$E$7))</f>
        <v/>
      </c>
      <c r="Z40" s="34" t="str">
        <f>IF($E40=0,"",((O40*$E$8/60)*$E$7))</f>
        <v/>
      </c>
      <c r="AA40" s="34" t="str">
        <f>IF($E40=0,"",((P40*$E$8/60)*$E$7))</f>
        <v/>
      </c>
      <c r="AB40" s="34" t="str">
        <f>IF($E40=0,"",((Q40*$E$8/60)*$E$7))</f>
        <v/>
      </c>
      <c r="AC40" s="148" t="str">
        <f>IF($E40=0,"",IF(STIG_Metrics!N40=60,0,($E40/STIG_Metrics!N40)/24))</f>
        <v/>
      </c>
      <c r="AD40" s="148" t="str">
        <f>IF($E40=0,"",IF(STIG_Metrics!O40=60,0,($E40/STIG_Metrics!O40)/24))</f>
        <v/>
      </c>
      <c r="AE40" s="148" t="str">
        <f>IF($E40=0,"",IF(STIG_Metrics!P40=60,0,($E40/STIG_Metrics!P40)/24))</f>
        <v/>
      </c>
      <c r="AF40" s="148" t="str">
        <f>IF($E40=0,"",IF(STIG_Metrics!Q40=60,0,($E40/STIG_Metrics!Q40)/24))</f>
        <v/>
      </c>
      <c r="AG40" s="148" t="str">
        <f>IF($E40=0,"",$AD40-$AF40)</f>
        <v/>
      </c>
      <c r="AH40" s="148" t="str">
        <f>IF($E40=0,"",$AE40-$AF40)</f>
        <v/>
      </c>
      <c r="AI40" s="149" t="str">
        <f>IF($E40=0,"",$E40/STIG_Metrics!N40)</f>
        <v/>
      </c>
      <c r="AJ40" s="149" t="str">
        <f>IF($E40=0,"",$E40/STIG_Metrics!O40)</f>
        <v/>
      </c>
      <c r="AK40" s="149" t="str">
        <f>IF($E40=0,"",$E40/STIG_Metrics!P40)</f>
        <v/>
      </c>
      <c r="AL40" s="149" t="str">
        <f>IF($E40=0,"",$E40/STIG_Metrics!Q40)</f>
        <v/>
      </c>
      <c r="AM40" s="111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89"/>
      <c r="AY40" s="239"/>
      <c r="AZ40" s="110"/>
    </row>
    <row r="41" spans="2:52" ht="39.950000000000003" customHeight="1">
      <c r="B41" s="110"/>
      <c r="C41" s="111"/>
      <c r="D41" s="277" t="str">
        <f>(STIG_Metrics!A41)</f>
        <v>Citrix Virtual Apps and Desktop 7.x Workspace App</v>
      </c>
      <c r="E41" s="218">
        <v>63</v>
      </c>
      <c r="F41" s="121"/>
      <c r="G41" s="118">
        <f t="shared" si="1"/>
        <v>18.899999999999999</v>
      </c>
      <c r="H41" s="122">
        <f t="shared" si="10"/>
        <v>2381.3999999999996</v>
      </c>
      <c r="I41" s="123">
        <f t="shared" si="2"/>
        <v>18.899999999999999</v>
      </c>
      <c r="J41" s="182">
        <f t="shared" si="11"/>
        <v>2381.3999999999996</v>
      </c>
      <c r="K41" s="187">
        <f>IF($E41=0,"",(STIG_Metrics!E41)*$E41)</f>
        <v>126</v>
      </c>
      <c r="L41" s="31">
        <f>IF($E41=0,"",(STIG_Metrics!F41)*$E41)</f>
        <v>0</v>
      </c>
      <c r="M41" s="47">
        <f>IF($E41=0,"",(STIG_Metrics!G41)*$E41)</f>
        <v>0</v>
      </c>
      <c r="N41" s="31">
        <f>IF($E41=0,"",(STIG_Metrics!H41)*$E41)</f>
        <v>63</v>
      </c>
      <c r="O41" s="31">
        <f>IF($E41=0,"",(STIG_Metrics!E41-STIG_Metrics!F41)*$E41)</f>
        <v>126</v>
      </c>
      <c r="P41" s="47">
        <f>IF($E41=0,"",(STIG_Metrics!E41-STIG_Metrics!G41)*$E41)</f>
        <v>126</v>
      </c>
      <c r="Q41" s="114">
        <f>IF($E41=0,"",(STIG_Metrics!E41-STIG_Metrics!H41)*$E41)</f>
        <v>63</v>
      </c>
      <c r="R41" s="115" t="str">
        <f t="shared" si="3"/>
        <v>1 Days 1 Hrs</v>
      </c>
      <c r="S41" s="32" t="str">
        <f t="shared" si="4"/>
        <v>1 Days 1 Hrs</v>
      </c>
      <c r="T41" s="48" t="str">
        <f t="shared" si="5"/>
        <v>1 Days 1 Hrs</v>
      </c>
      <c r="U41" s="237" t="str">
        <f t="shared" si="6"/>
        <v>0 Days 4 Hrs</v>
      </c>
      <c r="V41" s="125">
        <f>IF($E41=0,"",STIG_Metrics!R41)</f>
        <v>0</v>
      </c>
      <c r="W41" s="49">
        <f>IF($E41=0,"",STIG_Metrics!S41)</f>
        <v>0</v>
      </c>
      <c r="X41" s="33">
        <f>IF($E41=0,"",STIG_Metrics!T41)</f>
        <v>1</v>
      </c>
      <c r="Y41" s="34">
        <f t="shared" si="7"/>
        <v>1190.6999999999998</v>
      </c>
      <c r="Z41" s="34">
        <f t="shared" si="12"/>
        <v>1190.6999999999998</v>
      </c>
      <c r="AA41" s="50">
        <f t="shared" si="13"/>
        <v>1190.6999999999998</v>
      </c>
      <c r="AB41" s="34">
        <f t="shared" si="14"/>
        <v>595.34999999999991</v>
      </c>
      <c r="AC41" s="207">
        <f>IF($E41=0,"",IF(STIG_Metrics!N41=60,0,($E41/STIG_Metrics!N41)/24))</f>
        <v>0.39374999999999999</v>
      </c>
      <c r="AD41" s="146">
        <f>IF($E41=0,"",IF(STIG_Metrics!O41=60,0,($E41/STIG_Metrics!O41)/24))</f>
        <v>0.39374999999999999</v>
      </c>
      <c r="AE41" s="146">
        <f>IF($E41=0,"",IF(STIG_Metrics!P41=60,0,($E41/STIG_Metrics!P41)/24))</f>
        <v>0.39374999999999999</v>
      </c>
      <c r="AF41" s="146">
        <f>IF($E41=0,"",IF(STIG_Metrics!Q41=60,0,($E41/STIG_Metrics!Q41)/24))</f>
        <v>0.19687499999999999</v>
      </c>
      <c r="AG41" s="146">
        <f t="shared" si="8"/>
        <v>0.19687499999999999</v>
      </c>
      <c r="AH41" s="146">
        <f t="shared" si="9"/>
        <v>0.19687499999999999</v>
      </c>
      <c r="AI41" s="147">
        <f>IF($E41=0,"",$E41/STIG_Metrics!N41)</f>
        <v>9.4499999999999993</v>
      </c>
      <c r="AJ41" s="147">
        <f>IF($E41=0,"",$E41/STIG_Metrics!O41)</f>
        <v>9.4499999999999993</v>
      </c>
      <c r="AK41" s="147">
        <f>IF($E41=0,"",$E41/STIG_Metrics!P41)</f>
        <v>9.4499999999999993</v>
      </c>
      <c r="AL41" s="147">
        <f>IF($E41=0,"",$E41/STIG_Metrics!Q41)</f>
        <v>4.7249999999999996</v>
      </c>
      <c r="AM41" s="111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89"/>
      <c r="AY41" s="239"/>
      <c r="AZ41" s="110"/>
    </row>
    <row r="42" spans="2:52" ht="39.950000000000003" customHeight="1">
      <c r="B42" s="110"/>
      <c r="C42" s="111"/>
      <c r="D42" s="277" t="str">
        <f>(STIG_Metrics!A42)</f>
        <v>Google Chrome Current Windows</v>
      </c>
      <c r="E42" s="218">
        <v>1163</v>
      </c>
      <c r="F42" s="121"/>
      <c r="G42" s="118">
        <f t="shared" si="1"/>
        <v>3140.1000000000004</v>
      </c>
      <c r="H42" s="122">
        <f t="shared" si="10"/>
        <v>395652.60000000003</v>
      </c>
      <c r="I42" s="123">
        <f t="shared" si="2"/>
        <v>348.9</v>
      </c>
      <c r="J42" s="182">
        <f t="shared" si="11"/>
        <v>43961.399999999994</v>
      </c>
      <c r="K42" s="187">
        <f>IF($E42=0,"",(STIG_Metrics!E42)*$E42)</f>
        <v>53498</v>
      </c>
      <c r="L42" s="31">
        <f>IF($E42=0,"",(STIG_Metrics!F42)*$E42)</f>
        <v>41868</v>
      </c>
      <c r="M42" s="47">
        <f>IF($E42=0,"",(STIG_Metrics!G42)*$E42)</f>
        <v>51172</v>
      </c>
      <c r="N42" s="31">
        <f>IF($E42=0,"",(STIG_Metrics!H42)*$E42)</f>
        <v>52335</v>
      </c>
      <c r="O42" s="31">
        <f>IF($E42=0,"",(STIG_Metrics!E42-STIG_Metrics!F42)*$E42)</f>
        <v>11630</v>
      </c>
      <c r="P42" s="47">
        <f>IF($E42=0,"",(STIG_Metrics!E42-STIG_Metrics!G42)*$E42)</f>
        <v>2326</v>
      </c>
      <c r="Q42" s="114">
        <f>IF($E42=0,"",(STIG_Metrics!E42-STIG_Metrics!H42)*$E42)</f>
        <v>1163</v>
      </c>
      <c r="R42" s="115" t="str">
        <f t="shared" si="3"/>
        <v>501 Days 4 Hrs</v>
      </c>
      <c r="S42" s="32" t="str">
        <f t="shared" si="4"/>
        <v>109 Days 0 Hrs</v>
      </c>
      <c r="T42" s="48" t="str">
        <f t="shared" si="5"/>
        <v>21 Days 6 Hrs</v>
      </c>
      <c r="U42" s="237" t="str">
        <f t="shared" si="6"/>
        <v>10 Days 7 Hrs</v>
      </c>
      <c r="V42" s="125">
        <f>IF($E42=0,"",STIG_Metrics!R42)</f>
        <v>3.5999999999999996</v>
      </c>
      <c r="W42" s="49">
        <f>IF($E42=0,"",STIG_Metrics!S42)</f>
        <v>22</v>
      </c>
      <c r="X42" s="33">
        <f>IF($E42=0,"",STIG_Metrics!T42)</f>
        <v>45</v>
      </c>
      <c r="Y42" s="34">
        <f t="shared" si="7"/>
        <v>505556.1</v>
      </c>
      <c r="Z42" s="34">
        <f t="shared" si="12"/>
        <v>109903.5</v>
      </c>
      <c r="AA42" s="50">
        <f t="shared" si="13"/>
        <v>21980.699999999997</v>
      </c>
      <c r="AB42" s="34">
        <f t="shared" si="14"/>
        <v>10990.349999999999</v>
      </c>
      <c r="AC42" s="207">
        <f>IF($E42=0,"",IF(STIG_Metrics!N42=60,0,($E42/STIG_Metrics!N42)/24))</f>
        <v>167.18125000000001</v>
      </c>
      <c r="AD42" s="146">
        <f>IF($E42=0,"",IF(STIG_Metrics!O42=60,0,($E42/STIG_Metrics!O42)/24))</f>
        <v>36.34375</v>
      </c>
      <c r="AE42" s="146">
        <f>IF($E42=0,"",IF(STIG_Metrics!P42=60,0,($E42/STIG_Metrics!P42)/24))</f>
        <v>7.2687499999999998</v>
      </c>
      <c r="AF42" s="146">
        <f>IF($E42=0,"",IF(STIG_Metrics!Q42=60,0,($E42/STIG_Metrics!Q42)/24))</f>
        <v>3.6343749999999999</v>
      </c>
      <c r="AG42" s="146">
        <f t="shared" si="8"/>
        <v>32.709375000000001</v>
      </c>
      <c r="AH42" s="146">
        <f t="shared" si="9"/>
        <v>3.6343749999999999</v>
      </c>
      <c r="AI42" s="147">
        <f>IF($E42=0,"",$E42/STIG_Metrics!N42)</f>
        <v>4012.35</v>
      </c>
      <c r="AJ42" s="147">
        <f>IF($E42=0,"",$E42/STIG_Metrics!O42)</f>
        <v>872.25</v>
      </c>
      <c r="AK42" s="147">
        <f>IF($E42=0,"",$E42/STIG_Metrics!P42)</f>
        <v>174.45</v>
      </c>
      <c r="AL42" s="147">
        <f>IF($E42=0,"",$E42/STIG_Metrics!Q42)</f>
        <v>87.224999999999994</v>
      </c>
      <c r="AM42" s="111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89"/>
      <c r="AY42" s="239"/>
      <c r="AZ42" s="110"/>
    </row>
    <row r="43" spans="2:52" ht="39.950000000000003" customHeight="1">
      <c r="B43" s="110"/>
      <c r="C43" s="111"/>
      <c r="D43" s="277" t="str">
        <f>(STIG_Metrics!A43)</f>
        <v>JBoss Enterprise Application Platform 6.3</v>
      </c>
      <c r="E43" s="218">
        <v>0</v>
      </c>
      <c r="F43" s="121"/>
      <c r="G43" s="118" t="str">
        <f t="shared" si="1"/>
        <v/>
      </c>
      <c r="H43" s="122" t="str">
        <f t="shared" si="10"/>
        <v/>
      </c>
      <c r="I43" s="123" t="str">
        <f t="shared" si="2"/>
        <v/>
      </c>
      <c r="J43" s="182" t="str">
        <f t="shared" si="11"/>
        <v/>
      </c>
      <c r="K43" s="187" t="str">
        <f>IF($E43=0,"",(STIG_Metrics!E43)*$E43)</f>
        <v/>
      </c>
      <c r="L43" s="31" t="str">
        <f>IF($E43=0,"",(STIG_Metrics!F43)*$E43)</f>
        <v/>
      </c>
      <c r="M43" s="47" t="str">
        <f>IF($E43=0,"",(STIG_Metrics!G43)*$E43)</f>
        <v/>
      </c>
      <c r="N43" s="31" t="str">
        <f>IF($E43=0,"",(STIG_Metrics!H43)*$E43)</f>
        <v/>
      </c>
      <c r="O43" s="31" t="str">
        <f>IF($E43=0,"",(STIG_Metrics!E43-STIG_Metrics!F43)*$E43)</f>
        <v/>
      </c>
      <c r="P43" s="47" t="str">
        <f>IF($E43=0,"",(STIG_Metrics!E43-STIG_Metrics!G43)*$E43)</f>
        <v/>
      </c>
      <c r="Q43" s="114" t="str">
        <f>IF($E43=0,"",(STIG_Metrics!E43-STIG_Metrics!H43)*$E43)</f>
        <v/>
      </c>
      <c r="R43" s="115" t="str">
        <f t="shared" si="3"/>
        <v/>
      </c>
      <c r="S43" s="32" t="str">
        <f t="shared" si="4"/>
        <v/>
      </c>
      <c r="T43" s="48" t="str">
        <f t="shared" si="5"/>
        <v/>
      </c>
      <c r="U43" s="237" t="str">
        <f t="shared" si="6"/>
        <v/>
      </c>
      <c r="V43" s="125" t="str">
        <f>IF($E43=0,"",STIG_Metrics!R43)</f>
        <v/>
      </c>
      <c r="W43" s="49" t="str">
        <f>IF($E43=0,"",STIG_Metrics!S43)</f>
        <v/>
      </c>
      <c r="X43" s="33" t="str">
        <f>IF($E43=0,"",STIG_Metrics!T43)</f>
        <v/>
      </c>
      <c r="Y43" s="34" t="str">
        <f t="shared" si="7"/>
        <v/>
      </c>
      <c r="Z43" s="34" t="str">
        <f t="shared" si="12"/>
        <v/>
      </c>
      <c r="AA43" s="50" t="str">
        <f t="shared" si="13"/>
        <v/>
      </c>
      <c r="AB43" s="34" t="str">
        <f t="shared" si="14"/>
        <v/>
      </c>
      <c r="AC43" s="208" t="str">
        <f>IF($E43=0,"",IF(STIG_Metrics!N43=60,0,($E43/STIG_Metrics!N43)/24))</f>
        <v/>
      </c>
      <c r="AD43" s="148" t="str">
        <f>IF($E43=0,"",IF(STIG_Metrics!O43=60,0,($E43/STIG_Metrics!O43)/24))</f>
        <v/>
      </c>
      <c r="AE43" s="146" t="str">
        <f>IF($E43=0,"",IF(STIG_Metrics!P43=60,0,($E43/STIG_Metrics!P43)/24))</f>
        <v/>
      </c>
      <c r="AF43" s="148" t="str">
        <f>IF($E43=0,"",IF(STIG_Metrics!Q43=60,0,($E43/STIG_Metrics!Q43)/24))</f>
        <v/>
      </c>
      <c r="AG43" s="148" t="str">
        <f t="shared" si="8"/>
        <v/>
      </c>
      <c r="AH43" s="146" t="str">
        <f t="shared" si="9"/>
        <v/>
      </c>
      <c r="AI43" s="149" t="str">
        <f>IF($E43=0,"",$E43/STIG_Metrics!N43)</f>
        <v/>
      </c>
      <c r="AJ43" s="149" t="str">
        <f>IF($E43=0,"",$E43/STIG_Metrics!O43)</f>
        <v/>
      </c>
      <c r="AK43" s="147" t="str">
        <f>IF($E43=0,"",$E43/STIG_Metrics!P43)</f>
        <v/>
      </c>
      <c r="AL43" s="149" t="str">
        <f>IF($E43=0,"",$E43/STIG_Metrics!Q43)</f>
        <v/>
      </c>
      <c r="AM43" s="111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89"/>
      <c r="AY43" s="239"/>
      <c r="AZ43" s="110"/>
    </row>
    <row r="44" spans="2:52" ht="39.950000000000003" customHeight="1">
      <c r="B44" s="110"/>
      <c r="C44" s="111"/>
      <c r="D44" s="277" t="str">
        <f>(STIG_Metrics!A44)</f>
        <v>McAfee VirusScan 8.8 Local Client</v>
      </c>
      <c r="E44" s="218">
        <v>0</v>
      </c>
      <c r="F44" s="121"/>
      <c r="G44" s="118" t="str">
        <f t="shared" si="1"/>
        <v/>
      </c>
      <c r="H44" s="122" t="str">
        <f t="shared" si="10"/>
        <v/>
      </c>
      <c r="I44" s="123" t="str">
        <f t="shared" si="2"/>
        <v/>
      </c>
      <c r="J44" s="182" t="str">
        <f t="shared" si="11"/>
        <v/>
      </c>
      <c r="K44" s="187" t="str">
        <f>IF($E44=0,"",(STIG_Metrics!E44)*$E44)</f>
        <v/>
      </c>
      <c r="L44" s="31" t="str">
        <f>IF($E44=0,"",(STIG_Metrics!F44)*$E44)</f>
        <v/>
      </c>
      <c r="M44" s="47" t="str">
        <f>IF($E44=0,"",(STIG_Metrics!G44)*$E44)</f>
        <v/>
      </c>
      <c r="N44" s="31" t="str">
        <f>IF($E44=0,"",(STIG_Metrics!H44)*$E44)</f>
        <v/>
      </c>
      <c r="O44" s="31" t="str">
        <f>IF($E44=0,"",(STIG_Metrics!E44-STIG_Metrics!F44)*$E44)</f>
        <v/>
      </c>
      <c r="P44" s="47" t="str">
        <f>IF($E44=0,"",(STIG_Metrics!E44-STIG_Metrics!G44)*$E44)</f>
        <v/>
      </c>
      <c r="Q44" s="114" t="str">
        <f>IF($E44=0,"",(STIG_Metrics!E44-STIG_Metrics!H44)*$E44)</f>
        <v/>
      </c>
      <c r="R44" s="115" t="str">
        <f t="shared" si="3"/>
        <v/>
      </c>
      <c r="S44" s="32" t="str">
        <f t="shared" si="4"/>
        <v/>
      </c>
      <c r="T44" s="48" t="str">
        <f t="shared" si="5"/>
        <v/>
      </c>
      <c r="U44" s="237" t="str">
        <f t="shared" si="6"/>
        <v/>
      </c>
      <c r="V44" s="125" t="str">
        <f>IF($E44=0,"",STIG_Metrics!R44)</f>
        <v/>
      </c>
      <c r="W44" s="49" t="str">
        <f>IF($E44=0,"",STIG_Metrics!S44)</f>
        <v/>
      </c>
      <c r="X44" s="33" t="str">
        <f>IF($E44=0,"",STIG_Metrics!T44)</f>
        <v/>
      </c>
      <c r="Y44" s="34" t="str">
        <f t="shared" si="7"/>
        <v/>
      </c>
      <c r="Z44" s="34" t="str">
        <f t="shared" si="12"/>
        <v/>
      </c>
      <c r="AA44" s="50" t="str">
        <f t="shared" si="13"/>
        <v/>
      </c>
      <c r="AB44" s="34" t="str">
        <f t="shared" si="14"/>
        <v/>
      </c>
      <c r="AC44" s="207" t="str">
        <f>IF($E44=0,"",IF(STIG_Metrics!N44=60,0,($E44/STIG_Metrics!N44)/24))</f>
        <v/>
      </c>
      <c r="AD44" s="146" t="str">
        <f>IF($E44=0,"",IF(STIG_Metrics!O44=60,0,($E44/STIG_Metrics!O44)/24))</f>
        <v/>
      </c>
      <c r="AE44" s="146" t="str">
        <f>IF($E44=0,"",IF(STIG_Metrics!P44=60,0,($E44/STIG_Metrics!P44)/24))</f>
        <v/>
      </c>
      <c r="AF44" s="146" t="str">
        <f>IF($E44=0,"",IF(STIG_Metrics!Q44=60,0,($E44/STIG_Metrics!Q44)/24))</f>
        <v/>
      </c>
      <c r="AG44" s="146" t="str">
        <f t="shared" si="8"/>
        <v/>
      </c>
      <c r="AH44" s="146" t="str">
        <f t="shared" si="9"/>
        <v/>
      </c>
      <c r="AI44" s="147" t="str">
        <f>IF($E44=0,"",$E44/STIG_Metrics!N44)</f>
        <v/>
      </c>
      <c r="AJ44" s="147" t="str">
        <f>IF($E44=0,"",$E44/STIG_Metrics!O44)</f>
        <v/>
      </c>
      <c r="AK44" s="147" t="str">
        <f>IF($E44=0,"",$E44/STIG_Metrics!P44)</f>
        <v/>
      </c>
      <c r="AL44" s="147" t="str">
        <f>IF($E44=0,"",$E44/STIG_Metrics!Q44)</f>
        <v/>
      </c>
      <c r="AM44" s="111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89"/>
      <c r="AY44" s="239"/>
      <c r="AZ44" s="110"/>
    </row>
    <row r="45" spans="2:52" ht="39.950000000000003" customHeight="1">
      <c r="B45" s="110"/>
      <c r="C45" s="111"/>
      <c r="D45" s="277" t="str">
        <f>(STIG_Metrics!A45)</f>
        <v>Microsoft .NET Framework 4</v>
      </c>
      <c r="E45" s="218">
        <v>2010</v>
      </c>
      <c r="F45" s="121"/>
      <c r="G45" s="118">
        <f t="shared" si="1"/>
        <v>6030</v>
      </c>
      <c r="H45" s="122">
        <f t="shared" si="10"/>
        <v>759780</v>
      </c>
      <c r="I45" s="123">
        <f t="shared" si="2"/>
        <v>603</v>
      </c>
      <c r="J45" s="182">
        <f t="shared" si="11"/>
        <v>75978</v>
      </c>
      <c r="K45" s="187">
        <f>IF($E45=0,"",(STIG_Metrics!E45)*$E45)</f>
        <v>32160</v>
      </c>
      <c r="L45" s="31">
        <f>IF($E45=0,"",(STIG_Metrics!F45)*$E45)</f>
        <v>8040</v>
      </c>
      <c r="M45" s="47">
        <f>IF($E45=0,"",(STIG_Metrics!G45)*$E45)</f>
        <v>26130</v>
      </c>
      <c r="N45" s="31">
        <f>IF($E45=0,"",(STIG_Metrics!H45)*$E45)</f>
        <v>28140</v>
      </c>
      <c r="O45" s="31">
        <f>IF($E45=0,"",(STIG_Metrics!E45-STIG_Metrics!F45)*$E45)</f>
        <v>24120</v>
      </c>
      <c r="P45" s="47">
        <f>IF($E45=0,"",(STIG_Metrics!E45-STIG_Metrics!G45)*$E45)</f>
        <v>6030</v>
      </c>
      <c r="Q45" s="114">
        <f>IF($E45=0,"",(STIG_Metrics!E45-STIG_Metrics!H45)*$E45)</f>
        <v>4020</v>
      </c>
      <c r="R45" s="115" t="str">
        <f t="shared" si="3"/>
        <v>301 Days 4 Hrs</v>
      </c>
      <c r="S45" s="32" t="str">
        <f t="shared" si="4"/>
        <v>226 Days 1 Hrs</v>
      </c>
      <c r="T45" s="48" t="str">
        <f t="shared" si="5"/>
        <v>56 Days 4 Hrs</v>
      </c>
      <c r="U45" s="237" t="str">
        <f t="shared" si="6"/>
        <v>37 Days 5 Hrs</v>
      </c>
      <c r="V45" s="125">
        <f>IF($E45=0,"",STIG_Metrics!R45)</f>
        <v>0.33333333333333331</v>
      </c>
      <c r="W45" s="49">
        <f>IF($E45=0,"",STIG_Metrics!S45)</f>
        <v>4.333333333333333</v>
      </c>
      <c r="X45" s="33">
        <f>IF($E45=0,"",STIG_Metrics!T45)</f>
        <v>7</v>
      </c>
      <c r="Y45" s="34">
        <f t="shared" si="7"/>
        <v>303912</v>
      </c>
      <c r="Z45" s="34">
        <f t="shared" si="12"/>
        <v>227934</v>
      </c>
      <c r="AA45" s="50">
        <f t="shared" si="13"/>
        <v>56983.5</v>
      </c>
      <c r="AB45" s="34">
        <f t="shared" si="14"/>
        <v>37989</v>
      </c>
      <c r="AC45" s="207">
        <f>IF($E45=0,"",IF(STIG_Metrics!N45=60,0,($E45/STIG_Metrics!N45)/24))</f>
        <v>100.5</v>
      </c>
      <c r="AD45" s="146">
        <f>IF($E45=0,"",IF(STIG_Metrics!O45=60,0,($E45/STIG_Metrics!O45)/24))</f>
        <v>75.375</v>
      </c>
      <c r="AE45" s="146">
        <f>IF($E45=0,"",IF(STIG_Metrics!P45=60,0,($E45/STIG_Metrics!P45)/24))</f>
        <v>18.84375</v>
      </c>
      <c r="AF45" s="146">
        <f>IF($E45=0,"",IF(STIG_Metrics!Q45=60,0,($E45/STIG_Metrics!Q45)/24))</f>
        <v>12.5625</v>
      </c>
      <c r="AG45" s="146">
        <f t="shared" si="8"/>
        <v>62.8125</v>
      </c>
      <c r="AH45" s="146">
        <f t="shared" si="9"/>
        <v>6.28125</v>
      </c>
      <c r="AI45" s="147">
        <f>IF($E45=0,"",$E45/STIG_Metrics!N45)</f>
        <v>2412</v>
      </c>
      <c r="AJ45" s="147">
        <f>IF($E45=0,"",$E45/STIG_Metrics!O45)</f>
        <v>1809</v>
      </c>
      <c r="AK45" s="147">
        <f>IF($E45=0,"",$E45/STIG_Metrics!P45)</f>
        <v>452.25</v>
      </c>
      <c r="AL45" s="147">
        <f>IF($E45=0,"",$E45/STIG_Metrics!Q45)</f>
        <v>301.5</v>
      </c>
      <c r="AM45" s="111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89"/>
      <c r="AY45" s="239"/>
      <c r="AZ45" s="110"/>
    </row>
    <row r="46" spans="2:52" ht="39.950000000000003" customHeight="1">
      <c r="B46" s="110"/>
      <c r="C46" s="111"/>
      <c r="D46" s="277" t="str">
        <f>(STIG_Metrics!A46)</f>
        <v>Microsoft Access 2013</v>
      </c>
      <c r="E46" s="218">
        <v>0</v>
      </c>
      <c r="F46" s="121"/>
      <c r="G46" s="118" t="str">
        <f t="shared" si="1"/>
        <v/>
      </c>
      <c r="H46" s="122" t="str">
        <f t="shared" si="10"/>
        <v/>
      </c>
      <c r="I46" s="123" t="str">
        <f t="shared" si="2"/>
        <v/>
      </c>
      <c r="J46" s="182" t="str">
        <f t="shared" si="11"/>
        <v/>
      </c>
      <c r="K46" s="187" t="str">
        <f>IF($E46=0,"",(STIG_Metrics!E46)*$E46)</f>
        <v/>
      </c>
      <c r="L46" s="31" t="str">
        <f>IF($E46=0,"",(STIG_Metrics!F46)*$E46)</f>
        <v/>
      </c>
      <c r="M46" s="47" t="str">
        <f>IF($E46=0,"",(STIG_Metrics!G46)*$E46)</f>
        <v/>
      </c>
      <c r="N46" s="31" t="str">
        <f>IF($E46=0,"",(STIG_Metrics!H46)*$E46)</f>
        <v/>
      </c>
      <c r="O46" s="31" t="str">
        <f>IF($E46=0,"",(STIG_Metrics!E46-STIG_Metrics!F46)*$E46)</f>
        <v/>
      </c>
      <c r="P46" s="47" t="str">
        <f>IF($E46=0,"",(STIG_Metrics!E46-STIG_Metrics!G46)*$E46)</f>
        <v/>
      </c>
      <c r="Q46" s="114" t="str">
        <f>IF($E46=0,"",(STIG_Metrics!E46-STIG_Metrics!H46)*$E46)</f>
        <v/>
      </c>
      <c r="R46" s="115" t="str">
        <f t="shared" si="3"/>
        <v/>
      </c>
      <c r="S46" s="32" t="str">
        <f t="shared" si="4"/>
        <v/>
      </c>
      <c r="T46" s="48" t="str">
        <f t="shared" si="5"/>
        <v/>
      </c>
      <c r="U46" s="237" t="str">
        <f t="shared" si="6"/>
        <v/>
      </c>
      <c r="V46" s="125" t="str">
        <f>IF($E46=0,"",STIG_Metrics!R46)</f>
        <v/>
      </c>
      <c r="W46" s="49" t="str">
        <f>IF($E46=0,"",STIG_Metrics!S46)</f>
        <v/>
      </c>
      <c r="X46" s="33" t="str">
        <f>IF($E46=0,"",STIG_Metrics!T46)</f>
        <v/>
      </c>
      <c r="Y46" s="34" t="str">
        <f t="shared" si="7"/>
        <v/>
      </c>
      <c r="Z46" s="34" t="str">
        <f t="shared" si="12"/>
        <v/>
      </c>
      <c r="AA46" s="50" t="str">
        <f t="shared" si="13"/>
        <v/>
      </c>
      <c r="AB46" s="34" t="str">
        <f t="shared" si="14"/>
        <v/>
      </c>
      <c r="AC46" s="207" t="str">
        <f>IF($E46=0,"",IF(STIG_Metrics!N46=60,0,($E46/STIG_Metrics!N46)/24))</f>
        <v/>
      </c>
      <c r="AD46" s="146" t="str">
        <f>IF($E46=0,"",IF(STIG_Metrics!O46=60,0,($E46/STIG_Metrics!O46)/24))</f>
        <v/>
      </c>
      <c r="AE46" s="146" t="str">
        <f>IF($E46=0,"",IF(STIG_Metrics!P46=60,0,($E46/STIG_Metrics!P46)/24))</f>
        <v/>
      </c>
      <c r="AF46" s="146" t="str">
        <f>IF($E46=0,"",IF(STIG_Metrics!Q46=60,0,($E46/STIG_Metrics!Q46)/24))</f>
        <v/>
      </c>
      <c r="AG46" s="146" t="str">
        <f t="shared" si="8"/>
        <v/>
      </c>
      <c r="AH46" s="146" t="str">
        <f t="shared" si="9"/>
        <v/>
      </c>
      <c r="AI46" s="147" t="str">
        <f>IF($E46=0,"",$E46/STIG_Metrics!N46)</f>
        <v/>
      </c>
      <c r="AJ46" s="147" t="str">
        <f>IF($E46=0,"",$E46/STIG_Metrics!O46)</f>
        <v/>
      </c>
      <c r="AK46" s="147" t="str">
        <f>IF($E46=0,"",$E46/STIG_Metrics!P46)</f>
        <v/>
      </c>
      <c r="AL46" s="147" t="str">
        <f>IF($E46=0,"",$E46/STIG_Metrics!Q46)</f>
        <v/>
      </c>
      <c r="AM46" s="111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89"/>
      <c r="AY46" s="239"/>
      <c r="AZ46" s="110"/>
    </row>
    <row r="47" spans="2:52" ht="39.950000000000003" customHeight="1">
      <c r="B47" s="110"/>
      <c r="C47" s="111"/>
      <c r="D47" s="277" t="str">
        <f>(STIG_Metrics!A47)</f>
        <v>Microsoft Access 2016</v>
      </c>
      <c r="E47" s="218">
        <v>3</v>
      </c>
      <c r="F47" s="121"/>
      <c r="G47" s="118">
        <f t="shared" si="1"/>
        <v>14.399999999999999</v>
      </c>
      <c r="H47" s="122">
        <f t="shared" si="10"/>
        <v>1814.3999999999999</v>
      </c>
      <c r="I47" s="123">
        <f t="shared" si="2"/>
        <v>14.399999999999999</v>
      </c>
      <c r="J47" s="182">
        <f t="shared" si="11"/>
        <v>1814.3999999999999</v>
      </c>
      <c r="K47" s="187">
        <f>IF($E47=0,"",(STIG_Metrics!E47)*$E47)</f>
        <v>48</v>
      </c>
      <c r="L47" s="31">
        <f>IF($E47=0,"",(STIG_Metrics!F47)*$E47)</f>
        <v>0</v>
      </c>
      <c r="M47" s="47">
        <f>IF($E47=0,"",(STIG_Metrics!G47)*$E47)</f>
        <v>0</v>
      </c>
      <c r="N47" s="31">
        <f>IF($E47=0,"",(STIG_Metrics!H47)*$E47)</f>
        <v>48</v>
      </c>
      <c r="O47" s="31">
        <f>IF($E47=0,"",(STIG_Metrics!E47-STIG_Metrics!F47)*$E47)</f>
        <v>48</v>
      </c>
      <c r="P47" s="47">
        <f>IF($E47=0,"",(STIG_Metrics!E47-STIG_Metrics!G47)*$E47)</f>
        <v>48</v>
      </c>
      <c r="Q47" s="114">
        <f>IF($E47=0,"",(STIG_Metrics!E47-STIG_Metrics!H47)*$E47)</f>
        <v>0</v>
      </c>
      <c r="R47" s="115" t="str">
        <f t="shared" si="3"/>
        <v>0 Days 3 Hrs</v>
      </c>
      <c r="S47" s="32" t="str">
        <f t="shared" si="4"/>
        <v>0 Days 3 Hrs</v>
      </c>
      <c r="T47" s="48" t="str">
        <f t="shared" si="5"/>
        <v>0 Days 3 Hrs</v>
      </c>
      <c r="U47" s="237" t="str">
        <f t="shared" si="6"/>
        <v>0 Days 0 Hrs</v>
      </c>
      <c r="V47" s="125">
        <f>IF($E47=0,"",STIG_Metrics!R47)</f>
        <v>0</v>
      </c>
      <c r="W47" s="49">
        <f>IF($E47=0,"",STIG_Metrics!S47)</f>
        <v>0</v>
      </c>
      <c r="X47" s="33">
        <f>IF($E47=0,"",STIG_Metrics!T47)</f>
        <v>71</v>
      </c>
      <c r="Y47" s="34">
        <f t="shared" si="7"/>
        <v>453.6</v>
      </c>
      <c r="Z47" s="34">
        <f t="shared" si="12"/>
        <v>453.6</v>
      </c>
      <c r="AA47" s="50">
        <f t="shared" si="13"/>
        <v>453.6</v>
      </c>
      <c r="AB47" s="34">
        <f t="shared" si="14"/>
        <v>0</v>
      </c>
      <c r="AC47" s="207">
        <f>IF($E47=0,"",IF(STIG_Metrics!N47=60,0,($E47/STIG_Metrics!N47)/24))</f>
        <v>0.15</v>
      </c>
      <c r="AD47" s="146">
        <f>IF($E47=0,"",IF(STIG_Metrics!O47=60,0,($E47/STIG_Metrics!O47)/24))</f>
        <v>0.15</v>
      </c>
      <c r="AE47" s="146">
        <f>IF($E47=0,"",IF(STIG_Metrics!P47=60,0,($E47/STIG_Metrics!P47)/24))</f>
        <v>0.15</v>
      </c>
      <c r="AF47" s="146">
        <f>IF($E47=0,"",IF(STIG_Metrics!Q47=60,0,($E47/STIG_Metrics!Q47)/24))</f>
        <v>0</v>
      </c>
      <c r="AG47" s="146">
        <f t="shared" si="8"/>
        <v>0.15</v>
      </c>
      <c r="AH47" s="146">
        <f t="shared" si="9"/>
        <v>0.15</v>
      </c>
      <c r="AI47" s="147">
        <f>IF($E47=0,"",$E47/STIG_Metrics!N47)</f>
        <v>3.5999999999999996</v>
      </c>
      <c r="AJ47" s="147">
        <f>IF($E47=0,"",$E47/STIG_Metrics!O47)</f>
        <v>3.5999999999999996</v>
      </c>
      <c r="AK47" s="147">
        <f>IF($E47=0,"",$E47/STIG_Metrics!P47)</f>
        <v>3.5999999999999996</v>
      </c>
      <c r="AL47" s="147">
        <f>IF($E47=0,"",$E47/STIG_Metrics!Q47)</f>
        <v>0.05</v>
      </c>
      <c r="AM47" s="111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89"/>
      <c r="AY47" s="239"/>
      <c r="AZ47" s="110"/>
    </row>
    <row r="48" spans="2:52" ht="39.950000000000003" customHeight="1">
      <c r="B48" s="110"/>
      <c r="C48" s="111"/>
      <c r="D48" s="277" t="str">
        <f>(STIG_Metrics!A48)</f>
        <v>Microsoft Defender Antivirus</v>
      </c>
      <c r="E48" s="218">
        <v>1995</v>
      </c>
      <c r="F48" s="121"/>
      <c r="G48" s="118">
        <f t="shared" si="1"/>
        <v>0</v>
      </c>
      <c r="H48" s="122">
        <f t="shared" si="10"/>
        <v>0</v>
      </c>
      <c r="I48" s="123">
        <f t="shared" si="2"/>
        <v>16159.5</v>
      </c>
      <c r="J48" s="182">
        <f t="shared" si="11"/>
        <v>2036097</v>
      </c>
      <c r="K48" s="187">
        <f>IF($E48=0,"",(STIG_Metrics!E48)*$E48)</f>
        <v>135660</v>
      </c>
      <c r="L48" s="31">
        <f>IF($E48=0,"",(STIG_Metrics!F48)*$E48)</f>
        <v>135660</v>
      </c>
      <c r="M48" s="47">
        <f>IF($E48=0,"",(STIG_Metrics!G48)*$E48)</f>
        <v>81795</v>
      </c>
      <c r="N48" s="31">
        <f>IF($E48=0,"",(STIG_Metrics!H48)*$E48)</f>
        <v>135660</v>
      </c>
      <c r="O48" s="31">
        <f>IF($E48=0,"",(STIG_Metrics!E48-STIG_Metrics!F48)*$E48)</f>
        <v>0</v>
      </c>
      <c r="P48" s="47">
        <f>IF($E48=0,"",(STIG_Metrics!E48-STIG_Metrics!G48)*$E48)</f>
        <v>53865</v>
      </c>
      <c r="Q48" s="114">
        <f>IF($E48=0,"",(STIG_Metrics!E48-STIG_Metrics!H48)*$E48)</f>
        <v>0</v>
      </c>
      <c r="R48" s="115" t="str">
        <f t="shared" si="3"/>
        <v>1271 Days 6 Hrs</v>
      </c>
      <c r="S48" s="32" t="str">
        <f t="shared" si="4"/>
        <v>0 Days 0 Hrs</v>
      </c>
      <c r="T48" s="48" t="str">
        <f t="shared" si="5"/>
        <v>504 Days 7 Hrs</v>
      </c>
      <c r="U48" s="237" t="str">
        <f t="shared" si="6"/>
        <v>0 Days 0 Hrs</v>
      </c>
      <c r="V48" s="125">
        <f>IF($E48=0,"",STIG_Metrics!R48)</f>
        <v>305</v>
      </c>
      <c r="W48" s="49">
        <f>IF($E48=0,"",STIG_Metrics!S48)</f>
        <v>1.5185185185185186</v>
      </c>
      <c r="X48" s="33">
        <f>IF($E48=0,"",STIG_Metrics!T48)</f>
        <v>305</v>
      </c>
      <c r="Y48" s="34">
        <f t="shared" si="7"/>
        <v>1281987</v>
      </c>
      <c r="Z48" s="34">
        <f t="shared" si="12"/>
        <v>0</v>
      </c>
      <c r="AA48" s="50">
        <f t="shared" si="13"/>
        <v>509024.25</v>
      </c>
      <c r="AB48" s="34">
        <f t="shared" si="14"/>
        <v>0</v>
      </c>
      <c r="AC48" s="207">
        <f>IF($E48=0,"",IF(STIG_Metrics!N48=60,0,($E48/STIG_Metrics!N48)/24))</f>
        <v>423.9375</v>
      </c>
      <c r="AD48" s="146">
        <f>IF($E48=0,"",IF(STIG_Metrics!O48=60,0,($E48/STIG_Metrics!O48)/24))</f>
        <v>0</v>
      </c>
      <c r="AE48" s="146">
        <f>IF($E48=0,"",IF(STIG_Metrics!P48=60,0,($E48/STIG_Metrics!P48)/24))</f>
        <v>168.328125</v>
      </c>
      <c r="AF48" s="146">
        <f>IF($E48=0,"",IF(STIG_Metrics!Q48=60,0,($E48/STIG_Metrics!Q48)/24))</f>
        <v>0</v>
      </c>
      <c r="AG48" s="146">
        <f t="shared" si="8"/>
        <v>0</v>
      </c>
      <c r="AH48" s="146">
        <f t="shared" si="9"/>
        <v>168.328125</v>
      </c>
      <c r="AI48" s="147">
        <f>IF($E48=0,"",$E48/STIG_Metrics!N48)</f>
        <v>10174.5</v>
      </c>
      <c r="AJ48" s="147">
        <f>IF($E48=0,"",$E48/STIG_Metrics!O48)</f>
        <v>33.25</v>
      </c>
      <c r="AK48" s="147">
        <f>IF($E48=0,"",$E48/STIG_Metrics!P48)</f>
        <v>4039.875</v>
      </c>
      <c r="AL48" s="147">
        <f>IF($E48=0,"",$E48/STIG_Metrics!Q48)</f>
        <v>33.25</v>
      </c>
      <c r="AM48" s="111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89"/>
      <c r="AY48" s="239"/>
      <c r="AZ48" s="110"/>
    </row>
    <row r="49" spans="2:52" ht="39.950000000000003" customHeight="1">
      <c r="B49" s="110"/>
      <c r="C49" s="111"/>
      <c r="D49" s="277" t="str">
        <f>(STIG_Metrics!A49)</f>
        <v>Microsoft Edge</v>
      </c>
      <c r="E49" s="218">
        <v>1884</v>
      </c>
      <c r="F49" s="121"/>
      <c r="G49" s="118">
        <f t="shared" si="1"/>
        <v>5652</v>
      </c>
      <c r="H49" s="122">
        <f t="shared" si="10"/>
        <v>712152</v>
      </c>
      <c r="I49" s="123">
        <f t="shared" si="2"/>
        <v>2260.8000000000002</v>
      </c>
      <c r="J49" s="182">
        <f t="shared" si="11"/>
        <v>284860.80000000005</v>
      </c>
      <c r="K49" s="187">
        <f>IF($E49=0,"",(STIG_Metrics!E49)*$E49)</f>
        <v>111156</v>
      </c>
      <c r="L49" s="31">
        <f>IF($E49=0,"",(STIG_Metrics!F49)*$E49)</f>
        <v>90432</v>
      </c>
      <c r="M49" s="47">
        <f>IF($E49=0,"",(STIG_Metrics!G49)*$E49)</f>
        <v>101736</v>
      </c>
      <c r="N49" s="31">
        <f>IF($E49=0,"",(STIG_Metrics!H49)*$E49)</f>
        <v>109272</v>
      </c>
      <c r="O49" s="31">
        <f>IF($E49=0,"",(STIG_Metrics!E49-STIG_Metrics!F49)*$E49)</f>
        <v>20724</v>
      </c>
      <c r="P49" s="47">
        <f>IF($E49=0,"",(STIG_Metrics!E49-STIG_Metrics!G49)*$E49)</f>
        <v>9420</v>
      </c>
      <c r="Q49" s="114">
        <f>IF($E49=0,"",(STIG_Metrics!E49-STIG_Metrics!H49)*$E49)</f>
        <v>1884</v>
      </c>
      <c r="R49" s="115" t="str">
        <f t="shared" si="3"/>
        <v>1042 Days 0 Hrs</v>
      </c>
      <c r="S49" s="32" t="str">
        <f t="shared" si="4"/>
        <v>194 Days 2 Hrs</v>
      </c>
      <c r="T49" s="48" t="str">
        <f t="shared" si="5"/>
        <v>88 Days 2 Hrs</v>
      </c>
      <c r="U49" s="237" t="str">
        <f t="shared" si="6"/>
        <v>17 Days 5 Hrs</v>
      </c>
      <c r="V49" s="125">
        <f>IF($E49=0,"",STIG_Metrics!R49)</f>
        <v>4.3636363636363633</v>
      </c>
      <c r="W49" s="49">
        <f>IF($E49=0,"",STIG_Metrics!S49)</f>
        <v>10.799999999999999</v>
      </c>
      <c r="X49" s="33">
        <f>IF($E49=0,"",STIG_Metrics!T49)</f>
        <v>58</v>
      </c>
      <c r="Y49" s="34">
        <f t="shared" si="7"/>
        <v>1050424.2000000002</v>
      </c>
      <c r="Z49" s="34">
        <f t="shared" si="12"/>
        <v>195841.8</v>
      </c>
      <c r="AA49" s="50">
        <f t="shared" si="13"/>
        <v>89019</v>
      </c>
      <c r="AB49" s="34">
        <f t="shared" si="14"/>
        <v>17803.800000000003</v>
      </c>
      <c r="AC49" s="207">
        <f>IF($E49=0,"",IF(STIG_Metrics!N49=60,0,($E49/STIG_Metrics!N49)/24))</f>
        <v>347.36250000000001</v>
      </c>
      <c r="AD49" s="146">
        <f>IF($E49=0,"",IF(STIG_Metrics!O49=60,0,($E49/STIG_Metrics!O49)/24))</f>
        <v>64.762500000000003</v>
      </c>
      <c r="AE49" s="146">
        <f>IF($E49=0,"",IF(STIG_Metrics!P49=60,0,($E49/STIG_Metrics!P49)/24))</f>
        <v>29.4375</v>
      </c>
      <c r="AF49" s="146">
        <f>IF($E49=0,"",IF(STIG_Metrics!Q49=60,0,($E49/STIG_Metrics!Q49)/24))</f>
        <v>5.8874999999999993</v>
      </c>
      <c r="AG49" s="146">
        <f t="shared" si="8"/>
        <v>58.875</v>
      </c>
      <c r="AH49" s="146">
        <f t="shared" si="9"/>
        <v>23.55</v>
      </c>
      <c r="AI49" s="147">
        <f>IF($E49=0,"",$E49/STIG_Metrics!N49)</f>
        <v>8336.7000000000007</v>
      </c>
      <c r="AJ49" s="147">
        <f>IF($E49=0,"",$E49/STIG_Metrics!O49)</f>
        <v>1554.3</v>
      </c>
      <c r="AK49" s="147">
        <f>IF($E49=0,"",$E49/STIG_Metrics!P49)</f>
        <v>706.5</v>
      </c>
      <c r="AL49" s="147">
        <f>IF($E49=0,"",$E49/STIG_Metrics!Q49)</f>
        <v>141.29999999999998</v>
      </c>
      <c r="AM49" s="111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89"/>
      <c r="AY49" s="239"/>
      <c r="AZ49" s="110"/>
    </row>
    <row r="50" spans="2:52" ht="39.950000000000003" customHeight="1">
      <c r="B50" s="110"/>
      <c r="C50" s="111"/>
      <c r="D50" s="277" t="str">
        <f>(STIG_Metrics!A50)</f>
        <v>Microsoft Excel 2013</v>
      </c>
      <c r="E50" s="218">
        <v>0</v>
      </c>
      <c r="F50" s="121"/>
      <c r="G50" s="118" t="str">
        <f t="shared" si="1"/>
        <v/>
      </c>
      <c r="H50" s="122" t="str">
        <f t="shared" si="10"/>
        <v/>
      </c>
      <c r="I50" s="123" t="str">
        <f t="shared" si="2"/>
        <v/>
      </c>
      <c r="J50" s="182" t="str">
        <f t="shared" si="11"/>
        <v/>
      </c>
      <c r="K50" s="187" t="str">
        <f>IF($E50=0,"",(STIG_Metrics!E50)*$E50)</f>
        <v/>
      </c>
      <c r="L50" s="31" t="str">
        <f>IF($E50=0,"",(STIG_Metrics!F50)*$E50)</f>
        <v/>
      </c>
      <c r="M50" s="47" t="str">
        <f>IF($E50=0,"",(STIG_Metrics!G50)*$E50)</f>
        <v/>
      </c>
      <c r="N50" s="31" t="str">
        <f>IF($E50=0,"",(STIG_Metrics!H50)*$E50)</f>
        <v/>
      </c>
      <c r="O50" s="31" t="str">
        <f>IF($E50=0,"",(STIG_Metrics!E50-STIG_Metrics!F50)*$E50)</f>
        <v/>
      </c>
      <c r="P50" s="47" t="str">
        <f>IF($E50=0,"",(STIG_Metrics!E50-STIG_Metrics!G50)*$E50)</f>
        <v/>
      </c>
      <c r="Q50" s="114" t="str">
        <f>IF($E50=0,"",(STIG_Metrics!E50-STIG_Metrics!H50)*$E50)</f>
        <v/>
      </c>
      <c r="R50" s="115" t="str">
        <f t="shared" si="3"/>
        <v/>
      </c>
      <c r="S50" s="32" t="str">
        <f t="shared" si="4"/>
        <v/>
      </c>
      <c r="T50" s="48" t="str">
        <f t="shared" si="5"/>
        <v/>
      </c>
      <c r="U50" s="237" t="str">
        <f t="shared" si="6"/>
        <v/>
      </c>
      <c r="V50" s="125" t="str">
        <f>IF($E50=0,"",STIG_Metrics!R50)</f>
        <v/>
      </c>
      <c r="W50" s="49" t="str">
        <f>IF($E50=0,"",STIG_Metrics!S50)</f>
        <v/>
      </c>
      <c r="X50" s="33" t="str">
        <f>IF($E50=0,"",STIG_Metrics!T50)</f>
        <v/>
      </c>
      <c r="Y50" s="34" t="str">
        <f t="shared" si="7"/>
        <v/>
      </c>
      <c r="Z50" s="34" t="str">
        <f t="shared" si="12"/>
        <v/>
      </c>
      <c r="AA50" s="50" t="str">
        <f t="shared" si="13"/>
        <v/>
      </c>
      <c r="AB50" s="34" t="str">
        <f t="shared" si="14"/>
        <v/>
      </c>
      <c r="AC50" s="207" t="str">
        <f>IF($E50=0,"",IF(STIG_Metrics!N50=60,0,($E50/STIG_Metrics!N50)/24))</f>
        <v/>
      </c>
      <c r="AD50" s="146" t="str">
        <f>IF($E50=0,"",IF(STIG_Metrics!O50=60,0,($E50/STIG_Metrics!O50)/24))</f>
        <v/>
      </c>
      <c r="AE50" s="146" t="str">
        <f>IF($E50=0,"",IF(STIG_Metrics!P50=60,0,($E50/STIG_Metrics!P50)/24))</f>
        <v/>
      </c>
      <c r="AF50" s="146" t="str">
        <f>IF($E50=0,"",IF(STIG_Metrics!Q50=60,0,($E50/STIG_Metrics!Q50)/24))</f>
        <v/>
      </c>
      <c r="AG50" s="146" t="str">
        <f t="shared" si="8"/>
        <v/>
      </c>
      <c r="AH50" s="146" t="str">
        <f t="shared" si="9"/>
        <v/>
      </c>
      <c r="AI50" s="147" t="str">
        <f>IF($E50=0,"",$E50/STIG_Metrics!N50)</f>
        <v/>
      </c>
      <c r="AJ50" s="147" t="str">
        <f>IF($E50=0,"",$E50/STIG_Metrics!O50)</f>
        <v/>
      </c>
      <c r="AK50" s="147" t="str">
        <f>IF($E50=0,"",$E50/STIG_Metrics!P50)</f>
        <v/>
      </c>
      <c r="AL50" s="147" t="str">
        <f>IF($E50=0,"",$E50/STIG_Metrics!Q50)</f>
        <v/>
      </c>
      <c r="AM50" s="111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89"/>
      <c r="AY50" s="239"/>
      <c r="AZ50" s="110"/>
    </row>
    <row r="51" spans="2:52" ht="39.950000000000003" customHeight="1">
      <c r="B51" s="110"/>
      <c r="C51" s="111"/>
      <c r="D51" s="277" t="str">
        <f>(STIG_Metrics!A51)</f>
        <v>Microsoft Excel 2016</v>
      </c>
      <c r="E51" s="218">
        <v>7</v>
      </c>
      <c r="F51" s="121"/>
      <c r="G51" s="118">
        <f t="shared" si="1"/>
        <v>86.100000000000009</v>
      </c>
      <c r="H51" s="122">
        <f t="shared" si="10"/>
        <v>10848.6</v>
      </c>
      <c r="I51" s="123">
        <f t="shared" si="2"/>
        <v>86.100000000000009</v>
      </c>
      <c r="J51" s="182">
        <f t="shared" si="11"/>
        <v>10848.6</v>
      </c>
      <c r="K51" s="187">
        <f>IF($E51=0,"",(STIG_Metrics!E51)*$E51)</f>
        <v>287</v>
      </c>
      <c r="L51" s="31">
        <f>IF($E51=0,"",(STIG_Metrics!F51)*$E51)</f>
        <v>0</v>
      </c>
      <c r="M51" s="47">
        <f>IF($E51=0,"",(STIG_Metrics!G51)*$E51)</f>
        <v>0</v>
      </c>
      <c r="N51" s="31">
        <f>IF($E51=0,"",(STIG_Metrics!H51)*$E51)</f>
        <v>287</v>
      </c>
      <c r="O51" s="31">
        <f>IF($E51=0,"",(STIG_Metrics!E51-STIG_Metrics!F51)*$E51)</f>
        <v>287</v>
      </c>
      <c r="P51" s="47">
        <f>IF($E51=0,"",(STIG_Metrics!E51-STIG_Metrics!G51)*$E51)</f>
        <v>287</v>
      </c>
      <c r="Q51" s="114">
        <f>IF($E51=0,"",(STIG_Metrics!E51-STIG_Metrics!H51)*$E51)</f>
        <v>0</v>
      </c>
      <c r="R51" s="115" t="str">
        <f t="shared" si="3"/>
        <v>2 Days 5 Hrs</v>
      </c>
      <c r="S51" s="32" t="str">
        <f t="shared" si="4"/>
        <v>2 Days 5 Hrs</v>
      </c>
      <c r="T51" s="48" t="str">
        <f t="shared" si="5"/>
        <v>2 Days 5 Hrs</v>
      </c>
      <c r="U51" s="237" t="str">
        <f t="shared" si="6"/>
        <v>0 Days 0 Hrs</v>
      </c>
      <c r="V51" s="125">
        <f>IF($E51=0,"",STIG_Metrics!R51)</f>
        <v>0</v>
      </c>
      <c r="W51" s="49">
        <f>IF($E51=0,"",STIG_Metrics!S51)</f>
        <v>0</v>
      </c>
      <c r="X51" s="33">
        <f>IF($E51=0,"",STIG_Metrics!T51)</f>
        <v>183.5</v>
      </c>
      <c r="Y51" s="34">
        <f t="shared" si="7"/>
        <v>2712.1499999999996</v>
      </c>
      <c r="Z51" s="34">
        <f t="shared" si="12"/>
        <v>2712.1499999999996</v>
      </c>
      <c r="AA51" s="50">
        <f t="shared" si="13"/>
        <v>2712.1499999999996</v>
      </c>
      <c r="AB51" s="34">
        <f t="shared" si="14"/>
        <v>0</v>
      </c>
      <c r="AC51" s="207">
        <f>IF($E51=0,"",IF(STIG_Metrics!N51=60,0,($E51/STIG_Metrics!N51)/24))</f>
        <v>0.89687500000000009</v>
      </c>
      <c r="AD51" s="146">
        <f>IF($E51=0,"",IF(STIG_Metrics!O51=60,0,($E51/STIG_Metrics!O51)/24))</f>
        <v>0.89687500000000009</v>
      </c>
      <c r="AE51" s="146">
        <f>IF($E51=0,"",IF(STIG_Metrics!P51=60,0,($E51/STIG_Metrics!P51)/24))</f>
        <v>0.89687500000000009</v>
      </c>
      <c r="AF51" s="146">
        <f>IF($E51=0,"",IF(STIG_Metrics!Q51=60,0,($E51/STIG_Metrics!Q51)/24))</f>
        <v>0</v>
      </c>
      <c r="AG51" s="146">
        <f t="shared" si="8"/>
        <v>0.89687500000000009</v>
      </c>
      <c r="AH51" s="146">
        <f t="shared" si="9"/>
        <v>0.89687500000000009</v>
      </c>
      <c r="AI51" s="147">
        <f>IF($E51=0,"",$E51/STIG_Metrics!N51)</f>
        <v>21.525000000000002</v>
      </c>
      <c r="AJ51" s="147">
        <f>IF($E51=0,"",$E51/STIG_Metrics!O51)</f>
        <v>21.525000000000002</v>
      </c>
      <c r="AK51" s="147">
        <f>IF($E51=0,"",$E51/STIG_Metrics!P51)</f>
        <v>21.525000000000002</v>
      </c>
      <c r="AL51" s="147">
        <f>IF($E51=0,"",$E51/STIG_Metrics!Q51)</f>
        <v>0.11666666666666667</v>
      </c>
      <c r="AM51" s="111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89"/>
      <c r="AY51" s="239"/>
      <c r="AZ51" s="110"/>
    </row>
    <row r="52" spans="2:52" ht="39.950000000000003" customHeight="1">
      <c r="B52" s="110"/>
      <c r="C52" s="111"/>
      <c r="D52" s="277" t="str">
        <f>(STIG_Metrics!A52)</f>
        <v>Microsoft Exchange 2016 Edge Transport Server</v>
      </c>
      <c r="E52" s="218">
        <v>0</v>
      </c>
      <c r="F52" s="121"/>
      <c r="G52" s="118" t="str">
        <f t="shared" si="1"/>
        <v/>
      </c>
      <c r="H52" s="122" t="str">
        <f t="shared" si="10"/>
        <v/>
      </c>
      <c r="I52" s="123" t="str">
        <f t="shared" si="2"/>
        <v/>
      </c>
      <c r="J52" s="182" t="str">
        <f t="shared" si="11"/>
        <v/>
      </c>
      <c r="K52" s="187" t="str">
        <f>IF($E52=0,"",(STIG_Metrics!E52)*$E52)</f>
        <v/>
      </c>
      <c r="L52" s="31" t="str">
        <f>IF($E52=0,"",(STIG_Metrics!F52)*$E52)</f>
        <v/>
      </c>
      <c r="M52" s="47" t="str">
        <f>IF($E52=0,"",(STIG_Metrics!G52)*$E52)</f>
        <v/>
      </c>
      <c r="N52" s="31" t="str">
        <f>IF($E52=0,"",(STIG_Metrics!H52)*$E52)</f>
        <v/>
      </c>
      <c r="O52" s="31" t="str">
        <f>IF($E52=0,"",(STIG_Metrics!E52-STIG_Metrics!F52)*$E52)</f>
        <v/>
      </c>
      <c r="P52" s="47" t="str">
        <f>IF($E52=0,"",(STIG_Metrics!E52-STIG_Metrics!G52)*$E52)</f>
        <v/>
      </c>
      <c r="Q52" s="114" t="str">
        <f>IF($E52=0,"",(STIG_Metrics!E52-STIG_Metrics!H52)*$E52)</f>
        <v/>
      </c>
      <c r="R52" s="115" t="str">
        <f t="shared" si="3"/>
        <v/>
      </c>
      <c r="S52" s="32" t="str">
        <f t="shared" si="4"/>
        <v/>
      </c>
      <c r="T52" s="48" t="str">
        <f t="shared" si="5"/>
        <v/>
      </c>
      <c r="U52" s="237" t="str">
        <f t="shared" si="6"/>
        <v/>
      </c>
      <c r="V52" s="125" t="str">
        <f>IF($E52=0,"",STIG_Metrics!R52)</f>
        <v/>
      </c>
      <c r="W52" s="49" t="str">
        <f>IF($E52=0,"",STIG_Metrics!S52)</f>
        <v/>
      </c>
      <c r="X52" s="33" t="str">
        <f>IF($E52=0,"",STIG_Metrics!T52)</f>
        <v/>
      </c>
      <c r="Y52" s="34" t="str">
        <f t="shared" si="7"/>
        <v/>
      </c>
      <c r="Z52" s="34" t="str">
        <f t="shared" si="12"/>
        <v/>
      </c>
      <c r="AA52" s="50" t="str">
        <f t="shared" si="13"/>
        <v/>
      </c>
      <c r="AB52" s="34" t="str">
        <f t="shared" si="14"/>
        <v/>
      </c>
      <c r="AC52" s="207" t="str">
        <f>IF($E52=0,"",IF(STIG_Metrics!N52=60,0,($E52/STIG_Metrics!N52)/24))</f>
        <v/>
      </c>
      <c r="AD52" s="146" t="str">
        <f>IF($E52=0,"",IF(STIG_Metrics!O52=60,0,($E52/STIG_Metrics!O52)/24))</f>
        <v/>
      </c>
      <c r="AE52" s="146" t="str">
        <f>IF($E52=0,"",IF(STIG_Metrics!P52=60,0,($E52/STIG_Metrics!P52)/24))</f>
        <v/>
      </c>
      <c r="AF52" s="146" t="str">
        <f>IF($E52=0,"",IF(STIG_Metrics!Q52=60,0,($E52/STIG_Metrics!Q52)/24))</f>
        <v/>
      </c>
      <c r="AG52" s="146" t="str">
        <f t="shared" si="8"/>
        <v/>
      </c>
      <c r="AH52" s="146" t="str">
        <f t="shared" si="9"/>
        <v/>
      </c>
      <c r="AI52" s="147" t="str">
        <f>IF($E52=0,"",$E52/STIG_Metrics!N52)</f>
        <v/>
      </c>
      <c r="AJ52" s="147" t="str">
        <f>IF($E52=0,"",$E52/STIG_Metrics!O52)</f>
        <v/>
      </c>
      <c r="AK52" s="147" t="str">
        <f>IF($E52=0,"",$E52/STIG_Metrics!P52)</f>
        <v/>
      </c>
      <c r="AL52" s="147" t="str">
        <f>IF($E52=0,"",$E52/STIG_Metrics!Q52)</f>
        <v/>
      </c>
      <c r="AM52" s="111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89"/>
      <c r="AY52" s="239"/>
      <c r="AZ52" s="110"/>
    </row>
    <row r="53" spans="2:52" ht="39.950000000000003" customHeight="1">
      <c r="B53" s="110"/>
      <c r="C53" s="111"/>
      <c r="D53" s="277" t="str">
        <f>(STIG_Metrics!A53)</f>
        <v>Microsoft Exchange 2016 Mailbox Server</v>
      </c>
      <c r="E53" s="218">
        <v>0</v>
      </c>
      <c r="F53" s="121"/>
      <c r="G53" s="118" t="str">
        <f t="shared" ref="G53:G87" si="18">IF(E53=0,"",(AG53*24)*4)</f>
        <v/>
      </c>
      <c r="H53" s="122" t="str">
        <f t="shared" si="10"/>
        <v/>
      </c>
      <c r="I53" s="123" t="str">
        <f t="shared" ref="I53:I87" si="19">IF(E53=0,"",(AH53*24)*4)</f>
        <v/>
      </c>
      <c r="J53" s="182" t="str">
        <f t="shared" si="11"/>
        <v/>
      </c>
      <c r="K53" s="187" t="str">
        <f>IF($E53=0,"",(STIG_Metrics!E53)*$E53)</f>
        <v/>
      </c>
      <c r="L53" s="31" t="str">
        <f>IF($E53=0,"",(STIG_Metrics!F53)*$E53)</f>
        <v/>
      </c>
      <c r="M53" s="47" t="str">
        <f>IF($E53=0,"",(STIG_Metrics!G53)*$E53)</f>
        <v/>
      </c>
      <c r="N53" s="31" t="str">
        <f>IF($E53=0,"",(STIG_Metrics!H53)*$E53)</f>
        <v/>
      </c>
      <c r="O53" s="31" t="str">
        <f>IF($E53=0,"",(STIG_Metrics!E53-STIG_Metrics!F53)*$E53)</f>
        <v/>
      </c>
      <c r="P53" s="47" t="str">
        <f>IF($E53=0,"",(STIG_Metrics!E53-STIG_Metrics!G53)*$E53)</f>
        <v/>
      </c>
      <c r="Q53" s="114" t="str">
        <f>IF($E53=0,"",(STIG_Metrics!E53-STIG_Metrics!H53)*$E53)</f>
        <v/>
      </c>
      <c r="R53" s="115" t="str">
        <f t="shared" ref="R53:R87" si="20">IF($E53=0,"",FLOOR($AC53*3,1)&amp;" Days"&amp;TEXT(SUM($AC53-TIME(8,0,0)*FLOOR($AC53*3,1))," h")&amp;" Hrs")</f>
        <v/>
      </c>
      <c r="S53" s="32" t="str">
        <f t="shared" ref="S53:S87" si="21">IF($E53=0,"",FLOOR($AD53*3,1)&amp;" Days"&amp;TEXT(SUM($AD53-TIME(8,0,0)*FLOOR($AD53*3,1))," h")&amp;" Hrs")</f>
        <v/>
      </c>
      <c r="T53" s="48" t="str">
        <f t="shared" ref="T53:T87" si="22">IF($E53=0,"",FLOOR($AE53*3,1)&amp;" Days"&amp;TEXT(SUM($AE53-TIME(8,0,0)*FLOOR($AE53*3,1))," h")&amp;" Hrs")</f>
        <v/>
      </c>
      <c r="U53" s="237" t="str">
        <f t="shared" ref="U53:U87" si="23">IF($E53=0,"",FLOOR($AF53*3,1)&amp; " Days"&amp;TEXT(SUM($AF53-TIME(8,0,0)*FLOOR($AF53*3,1))," h") &amp; " Hrs")</f>
        <v/>
      </c>
      <c r="V53" s="125" t="str">
        <f>IF($E53=0,"",STIG_Metrics!R53)</f>
        <v/>
      </c>
      <c r="W53" s="49" t="str">
        <f>IF($E53=0,"",STIG_Metrics!S53)</f>
        <v/>
      </c>
      <c r="X53" s="33" t="str">
        <f>IF($E53=0,"",STIG_Metrics!T53)</f>
        <v/>
      </c>
      <c r="Y53" s="34" t="str">
        <f t="shared" ref="Y53:Y87" si="24">IF($E53=0,"",((K53*$E$8/60)*$E$7))</f>
        <v/>
      </c>
      <c r="Z53" s="34" t="str">
        <f t="shared" si="12"/>
        <v/>
      </c>
      <c r="AA53" s="50" t="str">
        <f t="shared" si="13"/>
        <v/>
      </c>
      <c r="AB53" s="34" t="str">
        <f t="shared" si="14"/>
        <v/>
      </c>
      <c r="AC53" s="207" t="str">
        <f>IF($E53=0,"",IF(STIG_Metrics!N53=60,0,($E53/STIG_Metrics!N53)/24))</f>
        <v/>
      </c>
      <c r="AD53" s="146" t="str">
        <f>IF($E53=0,"",IF(STIG_Metrics!O53=60,0,($E53/STIG_Metrics!O53)/24))</f>
        <v/>
      </c>
      <c r="AE53" s="146" t="str">
        <f>IF($E53=0,"",IF(STIG_Metrics!P53=60,0,($E53/STIG_Metrics!P53)/24))</f>
        <v/>
      </c>
      <c r="AF53" s="146" t="str">
        <f>IF($E53=0,"",IF(STIG_Metrics!Q53=60,0,($E53/STIG_Metrics!Q53)/24))</f>
        <v/>
      </c>
      <c r="AG53" s="146" t="str">
        <f t="shared" ref="AG53:AG87" si="25">IF($E53=0,"",$AD53-$AF53)</f>
        <v/>
      </c>
      <c r="AH53" s="146" t="str">
        <f t="shared" ref="AH53:AH87" si="26">IF($E53=0,"",$AE53-$AF53)</f>
        <v/>
      </c>
      <c r="AI53" s="147" t="str">
        <f>IF($E53=0,"",$E53/STIG_Metrics!N53)</f>
        <v/>
      </c>
      <c r="AJ53" s="147" t="str">
        <f>IF($E53=0,"",$E53/STIG_Metrics!O53)</f>
        <v/>
      </c>
      <c r="AK53" s="147" t="str">
        <f>IF($E53=0,"",$E53/STIG_Metrics!P53)</f>
        <v/>
      </c>
      <c r="AL53" s="147" t="str">
        <f>IF($E53=0,"",$E53/STIG_Metrics!Q53)</f>
        <v/>
      </c>
      <c r="AM53" s="111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89"/>
      <c r="AY53" s="239"/>
      <c r="AZ53" s="110"/>
    </row>
    <row r="54" spans="2:52" ht="39.950000000000003" customHeight="1">
      <c r="B54" s="110"/>
      <c r="C54" s="111"/>
      <c r="D54" s="277" t="str">
        <f>(STIG_Metrics!A54)</f>
        <v>Microsoft Exchange 2019 Edge Server</v>
      </c>
      <c r="E54" s="218">
        <v>0</v>
      </c>
      <c r="F54" s="121"/>
      <c r="G54" s="118" t="str">
        <f t="shared" si="18"/>
        <v/>
      </c>
      <c r="H54" s="122" t="str">
        <f t="shared" si="10"/>
        <v/>
      </c>
      <c r="I54" s="123" t="str">
        <f t="shared" si="19"/>
        <v/>
      </c>
      <c r="J54" s="182" t="str">
        <f t="shared" si="11"/>
        <v/>
      </c>
      <c r="K54" s="187" t="str">
        <f>IF($E54=0,"",(STIG_Metrics!E54)*$E54)</f>
        <v/>
      </c>
      <c r="L54" s="31" t="str">
        <f>IF($E54=0,"",(STIG_Metrics!F54)*$E54)</f>
        <v/>
      </c>
      <c r="M54" s="47" t="str">
        <f>IF($E54=0,"",(STIG_Metrics!G54)*$E54)</f>
        <v/>
      </c>
      <c r="N54" s="31" t="str">
        <f>IF($E54=0,"",(STIG_Metrics!H54)*$E54)</f>
        <v/>
      </c>
      <c r="O54" s="31" t="str">
        <f>IF($E54=0,"",(STIG_Metrics!E54-STIG_Metrics!F54)*$E54)</f>
        <v/>
      </c>
      <c r="P54" s="47" t="str">
        <f>IF($E54=0,"",(STIG_Metrics!E54-STIG_Metrics!G54)*$E54)</f>
        <v/>
      </c>
      <c r="Q54" s="114" t="str">
        <f>IF($E54=0,"",(STIG_Metrics!E54-STIG_Metrics!H54)*$E54)</f>
        <v/>
      </c>
      <c r="R54" s="115" t="str">
        <f t="shared" si="20"/>
        <v/>
      </c>
      <c r="S54" s="32" t="str">
        <f t="shared" si="21"/>
        <v/>
      </c>
      <c r="T54" s="48" t="str">
        <f t="shared" si="22"/>
        <v/>
      </c>
      <c r="U54" s="237" t="str">
        <f t="shared" si="23"/>
        <v/>
      </c>
      <c r="V54" s="125" t="str">
        <f>IF($E54=0,"",STIG_Metrics!R54)</f>
        <v/>
      </c>
      <c r="W54" s="49" t="str">
        <f>IF($E54=0,"",STIG_Metrics!S54)</f>
        <v/>
      </c>
      <c r="X54" s="33" t="str">
        <f>IF($E54=0,"",STIG_Metrics!T54)</f>
        <v/>
      </c>
      <c r="Y54" s="34" t="str">
        <f t="shared" si="24"/>
        <v/>
      </c>
      <c r="Z54" s="34" t="str">
        <f t="shared" ref="Z54:Z88" si="27">IF($E54=0,"",((O54*$E$8/60)*$E$7))</f>
        <v/>
      </c>
      <c r="AA54" s="50" t="str">
        <f t="shared" si="13"/>
        <v/>
      </c>
      <c r="AB54" s="34" t="str">
        <f t="shared" ref="AB54:AB88" si="28">IF($E54=0,"",((Q54*$E$8/60)*$E$7))</f>
        <v/>
      </c>
      <c r="AC54" s="208" t="str">
        <f>IF($E54=0,"",IF(STIG_Metrics!N54=60,0,($E54/STIG_Metrics!N54)/24))</f>
        <v/>
      </c>
      <c r="AD54" s="148" t="str">
        <f>IF($E54=0,"",IF(STIG_Metrics!O54=60,0,($E54/STIG_Metrics!O54)/24))</f>
        <v/>
      </c>
      <c r="AE54" s="146" t="str">
        <f>IF($E54=0,"",IF(STIG_Metrics!P54=60,0,($E54/STIG_Metrics!P54)/24))</f>
        <v/>
      </c>
      <c r="AF54" s="148" t="str">
        <f>IF($E54=0,"",IF(STIG_Metrics!Q54=60,0,($E54/STIG_Metrics!Q54)/24))</f>
        <v/>
      </c>
      <c r="AG54" s="148" t="str">
        <f t="shared" si="25"/>
        <v/>
      </c>
      <c r="AH54" s="146" t="str">
        <f t="shared" si="26"/>
        <v/>
      </c>
      <c r="AI54" s="149" t="str">
        <f>IF($E54=0,"",$E54/STIG_Metrics!N54)</f>
        <v/>
      </c>
      <c r="AJ54" s="149" t="str">
        <f>IF($E54=0,"",$E54/STIG_Metrics!O54)</f>
        <v/>
      </c>
      <c r="AK54" s="147" t="str">
        <f>IF($E54=0,"",$E54/STIG_Metrics!P54)</f>
        <v/>
      </c>
      <c r="AL54" s="149" t="str">
        <f>IF($E54=0,"",$E54/STIG_Metrics!Q54)</f>
        <v/>
      </c>
      <c r="AM54" s="89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89"/>
      <c r="AY54" s="239"/>
      <c r="AZ54" s="110"/>
    </row>
    <row r="55" spans="2:52" ht="39.950000000000003" customHeight="1">
      <c r="B55" s="110"/>
      <c r="C55" s="89"/>
      <c r="D55" s="277" t="str">
        <f>(STIG_Metrics!A55)</f>
        <v>Microsoft Exchange 2019 Mailbox Server</v>
      </c>
      <c r="E55" s="218">
        <v>0</v>
      </c>
      <c r="F55" s="121"/>
      <c r="G55" s="118" t="str">
        <f t="shared" si="18"/>
        <v/>
      </c>
      <c r="H55" s="122" t="str">
        <f t="shared" si="10"/>
        <v/>
      </c>
      <c r="I55" s="123" t="str">
        <f t="shared" si="19"/>
        <v/>
      </c>
      <c r="J55" s="182" t="str">
        <f t="shared" si="11"/>
        <v/>
      </c>
      <c r="K55" s="187" t="str">
        <f>IF($E55=0,"",(STIG_Metrics!E55)*$E55)</f>
        <v/>
      </c>
      <c r="L55" s="31" t="str">
        <f>IF($E55=0,"",(STIG_Metrics!F55)*$E55)</f>
        <v/>
      </c>
      <c r="M55" s="47" t="str">
        <f>IF($E55=0,"",(STIG_Metrics!G55)*$E55)</f>
        <v/>
      </c>
      <c r="N55" s="31" t="str">
        <f>IF($E55=0,"",(STIG_Metrics!H55)*$E55)</f>
        <v/>
      </c>
      <c r="O55" s="31" t="str">
        <f>IF($E55=0,"",(STIG_Metrics!E55-STIG_Metrics!F55)*$E55)</f>
        <v/>
      </c>
      <c r="P55" s="47" t="str">
        <f>IF($E55=0,"",(STIG_Metrics!E55-STIG_Metrics!G55)*$E55)</f>
        <v/>
      </c>
      <c r="Q55" s="114" t="str">
        <f>IF($E55=0,"",(STIG_Metrics!E55-STIG_Metrics!H55)*$E55)</f>
        <v/>
      </c>
      <c r="R55" s="115" t="str">
        <f t="shared" si="20"/>
        <v/>
      </c>
      <c r="S55" s="32" t="str">
        <f t="shared" si="21"/>
        <v/>
      </c>
      <c r="T55" s="48" t="str">
        <f t="shared" si="22"/>
        <v/>
      </c>
      <c r="U55" s="237" t="str">
        <f t="shared" si="23"/>
        <v/>
      </c>
      <c r="V55" s="125" t="str">
        <f>IF($E55=0,"",STIG_Metrics!R55)</f>
        <v/>
      </c>
      <c r="W55" s="49" t="str">
        <f>IF($E55=0,"",STIG_Metrics!S55)</f>
        <v/>
      </c>
      <c r="X55" s="33" t="str">
        <f>IF($E55=0,"",STIG_Metrics!T55)</f>
        <v/>
      </c>
      <c r="Y55" s="34" t="str">
        <f t="shared" si="24"/>
        <v/>
      </c>
      <c r="Z55" s="34" t="str">
        <f t="shared" si="27"/>
        <v/>
      </c>
      <c r="AA55" s="50" t="str">
        <f t="shared" si="13"/>
        <v/>
      </c>
      <c r="AB55" s="34" t="str">
        <f t="shared" si="28"/>
        <v/>
      </c>
      <c r="AC55" s="208" t="str">
        <f>IF($E55=0,"",IF(STIG_Metrics!N55=60,0,($E55/STIG_Metrics!N55)/24))</f>
        <v/>
      </c>
      <c r="AD55" s="148" t="str">
        <f>IF($E55=0,"",IF(STIG_Metrics!O55=60,0,($E55/STIG_Metrics!O55)/24))</f>
        <v/>
      </c>
      <c r="AE55" s="146" t="str">
        <f>IF($E55=0,"",IF(STIG_Metrics!P55=60,0,($E55/STIG_Metrics!P55)/24))</f>
        <v/>
      </c>
      <c r="AF55" s="148" t="str">
        <f>IF($E55=0,"",IF(STIG_Metrics!Q55=60,0,($E55/STIG_Metrics!Q55)/24))</f>
        <v/>
      </c>
      <c r="AG55" s="148" t="str">
        <f t="shared" si="25"/>
        <v/>
      </c>
      <c r="AH55" s="146" t="str">
        <f t="shared" si="26"/>
        <v/>
      </c>
      <c r="AI55" s="149" t="str">
        <f>IF($E55=0,"",$E55/STIG_Metrics!N55)</f>
        <v/>
      </c>
      <c r="AJ55" s="149" t="str">
        <f>IF($E55=0,"",$E55/STIG_Metrics!O55)</f>
        <v/>
      </c>
      <c r="AK55" s="147" t="str">
        <f>IF($E55=0,"",$E55/STIG_Metrics!P55)</f>
        <v/>
      </c>
      <c r="AL55" s="149" t="str">
        <f>IF($E55=0,"",$E55/STIG_Metrics!Q55)</f>
        <v/>
      </c>
      <c r="AM55" s="89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89"/>
      <c r="AY55" s="239"/>
      <c r="AZ55" s="110"/>
    </row>
    <row r="56" spans="2:52" ht="39.950000000000003" customHeight="1">
      <c r="B56" s="110"/>
      <c r="C56" s="89"/>
      <c r="D56" s="277" t="str">
        <f>(STIG_Metrics!A56)</f>
        <v>Microsoft Groove 2013</v>
      </c>
      <c r="E56" s="218">
        <v>0</v>
      </c>
      <c r="F56" s="121"/>
      <c r="G56" s="118" t="str">
        <f t="shared" si="18"/>
        <v/>
      </c>
      <c r="H56" s="122" t="str">
        <f t="shared" si="10"/>
        <v/>
      </c>
      <c r="I56" s="123" t="str">
        <f t="shared" si="19"/>
        <v/>
      </c>
      <c r="J56" s="182" t="str">
        <f t="shared" si="11"/>
        <v/>
      </c>
      <c r="K56" s="187" t="str">
        <f>IF($E56=0,"",(STIG_Metrics!E56)*$E56)</f>
        <v/>
      </c>
      <c r="L56" s="31" t="str">
        <f>IF($E56=0,"",(STIG_Metrics!F56)*$E56)</f>
        <v/>
      </c>
      <c r="M56" s="47" t="str">
        <f>IF($E56=0,"",(STIG_Metrics!G56)*$E56)</f>
        <v/>
      </c>
      <c r="N56" s="31" t="str">
        <f>IF($E56=0,"",(STIG_Metrics!H56)*$E56)</f>
        <v/>
      </c>
      <c r="O56" s="31" t="str">
        <f>IF($E56=0,"",(STIG_Metrics!E56-STIG_Metrics!F56)*$E56)</f>
        <v/>
      </c>
      <c r="P56" s="47" t="str">
        <f>IF($E56=0,"",(STIG_Metrics!E56-STIG_Metrics!G56)*$E56)</f>
        <v/>
      </c>
      <c r="Q56" s="114" t="str">
        <f>IF($E56=0,"",(STIG_Metrics!E56-STIG_Metrics!H56)*$E56)</f>
        <v/>
      </c>
      <c r="R56" s="115" t="str">
        <f t="shared" si="20"/>
        <v/>
      </c>
      <c r="S56" s="32" t="str">
        <f t="shared" si="21"/>
        <v/>
      </c>
      <c r="T56" s="48" t="str">
        <f t="shared" si="22"/>
        <v/>
      </c>
      <c r="U56" s="237" t="str">
        <f t="shared" si="23"/>
        <v/>
      </c>
      <c r="V56" s="125" t="str">
        <f>IF($E56=0,"",STIG_Metrics!R56)</f>
        <v/>
      </c>
      <c r="W56" s="49" t="str">
        <f>IF($E56=0,"",STIG_Metrics!S56)</f>
        <v/>
      </c>
      <c r="X56" s="33" t="str">
        <f>IF($E56=0,"",STIG_Metrics!T56)</f>
        <v/>
      </c>
      <c r="Y56" s="34" t="str">
        <f t="shared" si="24"/>
        <v/>
      </c>
      <c r="Z56" s="34" t="str">
        <f t="shared" si="27"/>
        <v/>
      </c>
      <c r="AA56" s="50" t="str">
        <f t="shared" si="13"/>
        <v/>
      </c>
      <c r="AB56" s="34" t="str">
        <f t="shared" si="28"/>
        <v/>
      </c>
      <c r="AC56" s="207" t="str">
        <f>IF($E56=0,"",IF(STIG_Metrics!N56=60,0,($E56/STIG_Metrics!N56)/24))</f>
        <v/>
      </c>
      <c r="AD56" s="146" t="str">
        <f>IF($E56=0,"",IF(STIG_Metrics!O56=60,0,($E56/STIG_Metrics!O56)/24))</f>
        <v/>
      </c>
      <c r="AE56" s="146" t="str">
        <f>IF($E56=0,"",IF(STIG_Metrics!P56=60,0,($E56/STIG_Metrics!P56)/24))</f>
        <v/>
      </c>
      <c r="AF56" s="146" t="str">
        <f>IF($E56=0,"",IF(STIG_Metrics!Q56=60,0,($E56/STIG_Metrics!Q56)/24))</f>
        <v/>
      </c>
      <c r="AG56" s="146" t="str">
        <f t="shared" si="25"/>
        <v/>
      </c>
      <c r="AH56" s="146" t="str">
        <f t="shared" si="26"/>
        <v/>
      </c>
      <c r="AI56" s="147" t="str">
        <f>IF($E56=0,"",$E56/STIG_Metrics!N56)</f>
        <v/>
      </c>
      <c r="AJ56" s="147" t="str">
        <f>IF($E56=0,"",$E56/STIG_Metrics!O56)</f>
        <v/>
      </c>
      <c r="AK56" s="147" t="str">
        <f>IF($E56=0,"",$E56/STIG_Metrics!P56)</f>
        <v/>
      </c>
      <c r="AL56" s="147" t="str">
        <f>IF($E56=0,"",$E56/STIG_Metrics!Q56)</f>
        <v/>
      </c>
      <c r="AM56" s="89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89"/>
      <c r="AY56" s="239"/>
      <c r="AZ56" s="110"/>
    </row>
    <row r="57" spans="2:52" ht="39.950000000000003" customHeight="1">
      <c r="B57" s="110"/>
      <c r="C57" s="89"/>
      <c r="D57" s="277" t="str">
        <f>(STIG_Metrics!A57)</f>
        <v>Microsoft IIS 10.0 Server</v>
      </c>
      <c r="E57" s="218">
        <v>27</v>
      </c>
      <c r="F57" s="121"/>
      <c r="G57" s="118">
        <f t="shared" si="18"/>
        <v>210.60000000000005</v>
      </c>
      <c r="H57" s="122">
        <f t="shared" si="10"/>
        <v>26535.600000000006</v>
      </c>
      <c r="I57" s="123">
        <f t="shared" si="19"/>
        <v>8.1000000000000085</v>
      </c>
      <c r="J57" s="182">
        <f t="shared" si="11"/>
        <v>1020.600000000001</v>
      </c>
      <c r="K57" s="187">
        <f>IF($E57=0,"",(STIG_Metrics!E57)*$E57)</f>
        <v>1134</v>
      </c>
      <c r="L57" s="31">
        <f>IF($E57=0,"",(STIG_Metrics!F57)*$E57)</f>
        <v>0</v>
      </c>
      <c r="M57" s="47">
        <f>IF($E57=0,"",(STIG_Metrics!G57)*$E57)</f>
        <v>675</v>
      </c>
      <c r="N57" s="31">
        <f>IF($E57=0,"",(STIG_Metrics!H57)*$E57)</f>
        <v>702</v>
      </c>
      <c r="O57" s="31">
        <f>IF($E57=0,"",(STIG_Metrics!E57-STIG_Metrics!F57)*$E57)</f>
        <v>1134</v>
      </c>
      <c r="P57" s="47">
        <f>IF($E57=0,"",(STIG_Metrics!E57-STIG_Metrics!G57)*$E57)</f>
        <v>459</v>
      </c>
      <c r="Q57" s="114">
        <f>IF($E57=0,"",(STIG_Metrics!E57-STIG_Metrics!H57)*$E57)</f>
        <v>432</v>
      </c>
      <c r="R57" s="115" t="str">
        <f t="shared" si="20"/>
        <v>10 Days 5 Hrs</v>
      </c>
      <c r="S57" s="32" t="str">
        <f t="shared" si="21"/>
        <v>10 Days 5 Hrs</v>
      </c>
      <c r="T57" s="48" t="str">
        <f t="shared" si="22"/>
        <v>4 Days 2 Hrs</v>
      </c>
      <c r="U57" s="237" t="str">
        <f t="shared" si="23"/>
        <v>4 Days 0 Hrs</v>
      </c>
      <c r="V57" s="125">
        <f>IF($E57=0,"",STIG_Metrics!R57)</f>
        <v>0</v>
      </c>
      <c r="W57" s="49">
        <f>IF($E57=0,"",STIG_Metrics!S57)</f>
        <v>1.4705882352941178</v>
      </c>
      <c r="X57" s="33">
        <f>IF($E57=0,"",STIG_Metrics!T57)</f>
        <v>1.6250000000000002</v>
      </c>
      <c r="Y57" s="34">
        <f t="shared" si="24"/>
        <v>10716.3</v>
      </c>
      <c r="Z57" s="34">
        <f t="shared" si="27"/>
        <v>10716.3</v>
      </c>
      <c r="AA57" s="50">
        <f t="shared" si="13"/>
        <v>4337.5499999999993</v>
      </c>
      <c r="AB57" s="34">
        <f t="shared" si="28"/>
        <v>4082.3999999999996</v>
      </c>
      <c r="AC57" s="207">
        <f>IF($E57=0,"",IF(STIG_Metrics!N57=60,0,($E57/STIG_Metrics!N57)/24))</f>
        <v>3.5437500000000006</v>
      </c>
      <c r="AD57" s="146">
        <f>IF($E57=0,"",IF(STIG_Metrics!O57=60,0,($E57/STIG_Metrics!O57)/24))</f>
        <v>3.5437500000000006</v>
      </c>
      <c r="AE57" s="146">
        <f>IF($E57=0,"",IF(STIG_Metrics!P57=60,0,($E57/STIG_Metrics!P57)/24))</f>
        <v>1.434375</v>
      </c>
      <c r="AF57" s="146">
        <f>IF($E57=0,"",IF(STIG_Metrics!Q57=60,0,($E57/STIG_Metrics!Q57)/24))</f>
        <v>1.3499999999999999</v>
      </c>
      <c r="AG57" s="146">
        <f t="shared" si="25"/>
        <v>2.1937500000000005</v>
      </c>
      <c r="AH57" s="146">
        <f t="shared" si="26"/>
        <v>8.4375000000000089E-2</v>
      </c>
      <c r="AI57" s="147">
        <f>IF($E57=0,"",$E57/STIG_Metrics!N57)</f>
        <v>85.050000000000011</v>
      </c>
      <c r="AJ57" s="147">
        <f>IF($E57=0,"",$E57/STIG_Metrics!O57)</f>
        <v>85.050000000000011</v>
      </c>
      <c r="AK57" s="147">
        <f>IF($E57=0,"",$E57/STIG_Metrics!P57)</f>
        <v>34.424999999999997</v>
      </c>
      <c r="AL57" s="147">
        <f>IF($E57=0,"",$E57/STIG_Metrics!Q57)</f>
        <v>32.4</v>
      </c>
      <c r="AM57" s="89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89"/>
      <c r="AY57" s="239"/>
      <c r="AZ57" s="110"/>
    </row>
    <row r="58" spans="2:52" ht="39.950000000000003" customHeight="1">
      <c r="B58" s="110"/>
      <c r="C58" s="89"/>
      <c r="D58" s="277" t="str">
        <f>(STIG_Metrics!A58)</f>
        <v>Microsoft IIS 10.0 Site</v>
      </c>
      <c r="E58" s="218">
        <v>34</v>
      </c>
      <c r="F58" s="121"/>
      <c r="G58" s="118">
        <f t="shared" si="18"/>
        <v>408</v>
      </c>
      <c r="H58" s="122">
        <f t="shared" si="10"/>
        <v>51408</v>
      </c>
      <c r="I58" s="123">
        <f t="shared" si="19"/>
        <v>81.599999999999994</v>
      </c>
      <c r="J58" s="182">
        <f t="shared" si="11"/>
        <v>10281.599999999999</v>
      </c>
      <c r="K58" s="187">
        <f>IF($E58=0,"",(STIG_Metrics!E58)*$E58)</f>
        <v>1496</v>
      </c>
      <c r="L58" s="31">
        <f>IF($E58=0,"",(STIG_Metrics!F58)*$E58)</f>
        <v>0</v>
      </c>
      <c r="M58" s="47">
        <f>IF($E58=0,"",(STIG_Metrics!G58)*$E58)</f>
        <v>1088</v>
      </c>
      <c r="N58" s="31">
        <f>IF($E58=0,"",(STIG_Metrics!H58)*$E58)</f>
        <v>1360</v>
      </c>
      <c r="O58" s="31">
        <f>IF($E58=0,"",(STIG_Metrics!E58-STIG_Metrics!F58)*$E58)</f>
        <v>1496</v>
      </c>
      <c r="P58" s="47">
        <f>IF($E58=0,"",(STIG_Metrics!E58-STIG_Metrics!G58)*$E58)</f>
        <v>408</v>
      </c>
      <c r="Q58" s="114">
        <f>IF($E58=0,"",(STIG_Metrics!E58-STIG_Metrics!H58)*$E58)</f>
        <v>136</v>
      </c>
      <c r="R58" s="115" t="str">
        <f t="shared" si="20"/>
        <v>14 Days 0 Hrs</v>
      </c>
      <c r="S58" s="32" t="str">
        <f t="shared" si="21"/>
        <v>14 Days 0 Hrs</v>
      </c>
      <c r="T58" s="48" t="str">
        <f t="shared" si="22"/>
        <v>3 Days 6 Hrs</v>
      </c>
      <c r="U58" s="237" t="str">
        <f t="shared" si="23"/>
        <v>1 Days 2 Hrs</v>
      </c>
      <c r="V58" s="125">
        <f>IF($E58=0,"",STIG_Metrics!R58)</f>
        <v>0</v>
      </c>
      <c r="W58" s="49">
        <f>IF($E58=0,"",STIG_Metrics!S58)</f>
        <v>2.666666666666667</v>
      </c>
      <c r="X58" s="33">
        <f>IF($E58=0,"",STIG_Metrics!T58)</f>
        <v>10</v>
      </c>
      <c r="Y58" s="34">
        <f t="shared" si="24"/>
        <v>14137.2</v>
      </c>
      <c r="Z58" s="34">
        <f t="shared" si="27"/>
        <v>14137.2</v>
      </c>
      <c r="AA58" s="50">
        <f t="shared" si="13"/>
        <v>3855.6000000000004</v>
      </c>
      <c r="AB58" s="34">
        <f t="shared" si="28"/>
        <v>1285.1999999999998</v>
      </c>
      <c r="AC58" s="207">
        <f>IF($E58=0,"",IF(STIG_Metrics!N58=60,0,($E58/STIG_Metrics!N58)/24))</f>
        <v>4.6749999999999998</v>
      </c>
      <c r="AD58" s="146">
        <f>IF($E58=0,"",IF(STIG_Metrics!O58=60,0,($E58/STIG_Metrics!O58)/24))</f>
        <v>4.6749999999999998</v>
      </c>
      <c r="AE58" s="146">
        <f>IF($E58=0,"",IF(STIG_Metrics!P58=60,0,($E58/STIG_Metrics!P58)/24))</f>
        <v>1.2749999999999999</v>
      </c>
      <c r="AF58" s="146">
        <f>IF($E58=0,"",IF(STIG_Metrics!Q58=60,0,($E58/STIG_Metrics!Q58)/24))</f>
        <v>0.42499999999999999</v>
      </c>
      <c r="AG58" s="146">
        <f t="shared" si="25"/>
        <v>4.25</v>
      </c>
      <c r="AH58" s="146">
        <f t="shared" si="26"/>
        <v>0.84999999999999987</v>
      </c>
      <c r="AI58" s="147">
        <f>IF($E58=0,"",$E58/STIG_Metrics!N58)</f>
        <v>112.2</v>
      </c>
      <c r="AJ58" s="147">
        <f>IF($E58=0,"",$E58/STIG_Metrics!O58)</f>
        <v>112.2</v>
      </c>
      <c r="AK58" s="147">
        <f>IF($E58=0,"",$E58/STIG_Metrics!P58)</f>
        <v>30.599999999999998</v>
      </c>
      <c r="AL58" s="147">
        <f>IF($E58=0,"",$E58/STIG_Metrics!Q58)</f>
        <v>10.199999999999999</v>
      </c>
      <c r="AM58" s="89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89"/>
      <c r="AY58" s="239"/>
      <c r="AZ58" s="110"/>
    </row>
    <row r="59" spans="2:52" ht="39.950000000000003" customHeight="1">
      <c r="B59" s="110"/>
      <c r="C59" s="89"/>
      <c r="D59" s="277" t="str">
        <f>(STIG_Metrics!A59)</f>
        <v>Microsoft IIS 8.5 Server</v>
      </c>
      <c r="E59" s="218">
        <v>0</v>
      </c>
      <c r="F59" s="121"/>
      <c r="G59" s="118" t="str">
        <f t="shared" si="18"/>
        <v/>
      </c>
      <c r="H59" s="122" t="str">
        <f t="shared" si="10"/>
        <v/>
      </c>
      <c r="I59" s="123" t="str">
        <f t="shared" si="19"/>
        <v/>
      </c>
      <c r="J59" s="182" t="str">
        <f t="shared" si="11"/>
        <v/>
      </c>
      <c r="K59" s="187" t="str">
        <f>IF($E59=0,"",(STIG_Metrics!E59)*$E59)</f>
        <v/>
      </c>
      <c r="L59" s="31" t="str">
        <f>IF($E59=0,"",(STIG_Metrics!F59)*$E59)</f>
        <v/>
      </c>
      <c r="M59" s="47" t="str">
        <f>IF($E59=0,"",(STIG_Metrics!G59)*$E59)</f>
        <v/>
      </c>
      <c r="N59" s="31" t="str">
        <f>IF($E59=0,"",(STIG_Metrics!H59)*$E59)</f>
        <v/>
      </c>
      <c r="O59" s="31" t="str">
        <f>IF($E59=0,"",(STIG_Metrics!E59-STIG_Metrics!F59)*$E59)</f>
        <v/>
      </c>
      <c r="P59" s="47" t="str">
        <f>IF($E59=0,"",(STIG_Metrics!E59-STIG_Metrics!G59)*$E59)</f>
        <v/>
      </c>
      <c r="Q59" s="114" t="str">
        <f>IF($E59=0,"",(STIG_Metrics!E59-STIG_Metrics!H59)*$E59)</f>
        <v/>
      </c>
      <c r="R59" s="115" t="str">
        <f t="shared" si="20"/>
        <v/>
      </c>
      <c r="S59" s="32" t="str">
        <f t="shared" si="21"/>
        <v/>
      </c>
      <c r="T59" s="48" t="str">
        <f t="shared" si="22"/>
        <v/>
      </c>
      <c r="U59" s="237" t="str">
        <f t="shared" si="23"/>
        <v/>
      </c>
      <c r="V59" s="125" t="str">
        <f>IF($E59=0,"",STIG_Metrics!R59)</f>
        <v/>
      </c>
      <c r="W59" s="49" t="str">
        <f>IF($E59=0,"",STIG_Metrics!S59)</f>
        <v/>
      </c>
      <c r="X59" s="33" t="str">
        <f>IF($E59=0,"",STIG_Metrics!T59)</f>
        <v/>
      </c>
      <c r="Y59" s="34" t="str">
        <f t="shared" si="24"/>
        <v/>
      </c>
      <c r="Z59" s="34" t="str">
        <f t="shared" si="27"/>
        <v/>
      </c>
      <c r="AA59" s="50" t="str">
        <f t="shared" si="13"/>
        <v/>
      </c>
      <c r="AB59" s="34" t="str">
        <f t="shared" si="28"/>
        <v/>
      </c>
      <c r="AC59" s="207" t="str">
        <f>IF($E59=0,"",IF(STIG_Metrics!N59=60,0,($E59/STIG_Metrics!N59)/24))</f>
        <v/>
      </c>
      <c r="AD59" s="146" t="str">
        <f>IF($E59=0,"",IF(STIG_Metrics!O59=60,0,($E59/STIG_Metrics!O59)/24))</f>
        <v/>
      </c>
      <c r="AE59" s="146" t="str">
        <f>IF($E59=0,"",IF(STIG_Metrics!P59=60,0,($E59/STIG_Metrics!P59)/24))</f>
        <v/>
      </c>
      <c r="AF59" s="146" t="str">
        <f>IF($E59=0,"",IF(STIG_Metrics!Q59=60,0,($E59/STIG_Metrics!Q59)/24))</f>
        <v/>
      </c>
      <c r="AG59" s="146" t="str">
        <f t="shared" si="25"/>
        <v/>
      </c>
      <c r="AH59" s="146" t="str">
        <f t="shared" si="26"/>
        <v/>
      </c>
      <c r="AI59" s="147" t="str">
        <f>IF($E59=0,"",$E59/STIG_Metrics!N59)</f>
        <v/>
      </c>
      <c r="AJ59" s="147" t="str">
        <f>IF($E59=0,"",$E59/STIG_Metrics!O59)</f>
        <v/>
      </c>
      <c r="AK59" s="147" t="str">
        <f>IF($E59=0,"",$E59/STIG_Metrics!P59)</f>
        <v/>
      </c>
      <c r="AL59" s="147" t="str">
        <f>IF($E59=0,"",$E59/STIG_Metrics!Q59)</f>
        <v/>
      </c>
      <c r="AM59" s="89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89"/>
      <c r="AY59" s="239"/>
      <c r="AZ59" s="110"/>
    </row>
    <row r="60" spans="2:52" ht="39.950000000000003" customHeight="1">
      <c r="B60" s="110"/>
      <c r="C60" s="89"/>
      <c r="D60" s="277" t="str">
        <f>(STIG_Metrics!A60)</f>
        <v>Microsoft IIS 8.5 Site</v>
      </c>
      <c r="E60" s="218">
        <v>0</v>
      </c>
      <c r="F60" s="121"/>
      <c r="G60" s="118" t="str">
        <f t="shared" si="18"/>
        <v/>
      </c>
      <c r="H60" s="122" t="str">
        <f t="shared" si="10"/>
        <v/>
      </c>
      <c r="I60" s="123" t="str">
        <f t="shared" si="19"/>
        <v/>
      </c>
      <c r="J60" s="182" t="str">
        <f t="shared" si="11"/>
        <v/>
      </c>
      <c r="K60" s="187" t="str">
        <f>IF($E60=0,"",(STIG_Metrics!E60)*$E60)</f>
        <v/>
      </c>
      <c r="L60" s="31" t="str">
        <f>IF($E60=0,"",(STIG_Metrics!F60)*$E60)</f>
        <v/>
      </c>
      <c r="M60" s="47" t="str">
        <f>IF($E60=0,"",(STIG_Metrics!G60)*$E60)</f>
        <v/>
      </c>
      <c r="N60" s="31" t="str">
        <f>IF($E60=0,"",(STIG_Metrics!H60)*$E60)</f>
        <v/>
      </c>
      <c r="O60" s="31" t="str">
        <f>IF($E60=0,"",(STIG_Metrics!E60-STIG_Metrics!F60)*$E60)</f>
        <v/>
      </c>
      <c r="P60" s="47" t="str">
        <f>IF($E60=0,"",(STIG_Metrics!E60-STIG_Metrics!G60)*$E60)</f>
        <v/>
      </c>
      <c r="Q60" s="114" t="str">
        <f>IF($E60=0,"",(STIG_Metrics!E60-STIG_Metrics!H60)*$E60)</f>
        <v/>
      </c>
      <c r="R60" s="115" t="str">
        <f t="shared" si="20"/>
        <v/>
      </c>
      <c r="S60" s="32" t="str">
        <f t="shared" si="21"/>
        <v/>
      </c>
      <c r="T60" s="48" t="str">
        <f t="shared" si="22"/>
        <v/>
      </c>
      <c r="U60" s="237" t="str">
        <f t="shared" si="23"/>
        <v/>
      </c>
      <c r="V60" s="125" t="str">
        <f>IF($E60=0,"",STIG_Metrics!R60)</f>
        <v/>
      </c>
      <c r="W60" s="49" t="str">
        <f>IF($E60=0,"",STIG_Metrics!S60)</f>
        <v/>
      </c>
      <c r="X60" s="33" t="str">
        <f>IF($E60=0,"",STIG_Metrics!T60)</f>
        <v/>
      </c>
      <c r="Y60" s="34" t="str">
        <f t="shared" si="24"/>
        <v/>
      </c>
      <c r="Z60" s="34" t="str">
        <f t="shared" si="27"/>
        <v/>
      </c>
      <c r="AA60" s="50" t="str">
        <f t="shared" si="13"/>
        <v/>
      </c>
      <c r="AB60" s="34" t="str">
        <f t="shared" si="28"/>
        <v/>
      </c>
      <c r="AC60" s="207" t="str">
        <f>IF($E60=0,"",IF(STIG_Metrics!N60=60,0,($E60/STIG_Metrics!N60)/24))</f>
        <v/>
      </c>
      <c r="AD60" s="146" t="str">
        <f>IF($E60=0,"",IF(STIG_Metrics!O60=60,0,($E60/STIG_Metrics!O60)/24))</f>
        <v/>
      </c>
      <c r="AE60" s="146" t="str">
        <f>IF($E60=0,"",IF(STIG_Metrics!P60=60,0,($E60/STIG_Metrics!P60)/24))</f>
        <v/>
      </c>
      <c r="AF60" s="146" t="str">
        <f>IF($E60=0,"",IF(STIG_Metrics!Q60=60,0,($E60/STIG_Metrics!Q60)/24))</f>
        <v/>
      </c>
      <c r="AG60" s="146" t="str">
        <f t="shared" si="25"/>
        <v/>
      </c>
      <c r="AH60" s="146" t="str">
        <f t="shared" si="26"/>
        <v/>
      </c>
      <c r="AI60" s="147" t="str">
        <f>IF($E60=0,"",$E60/STIG_Metrics!N60)</f>
        <v/>
      </c>
      <c r="AJ60" s="147" t="str">
        <f>IF($E60=0,"",$E60/STIG_Metrics!O60)</f>
        <v/>
      </c>
      <c r="AK60" s="147" t="str">
        <f>IF($E60=0,"",$E60/STIG_Metrics!P60)</f>
        <v/>
      </c>
      <c r="AL60" s="147" t="str">
        <f>IF($E60=0,"",$E60/STIG_Metrics!Q60)</f>
        <v/>
      </c>
      <c r="AM60" s="89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89"/>
      <c r="AY60" s="239"/>
      <c r="AZ60" s="110"/>
    </row>
    <row r="61" spans="2:52" ht="39.950000000000003" customHeight="1">
      <c r="B61" s="110"/>
      <c r="C61" s="89"/>
      <c r="D61" s="277" t="str">
        <f>(STIG_Metrics!A61)</f>
        <v>Microsoft InfoPath 2013</v>
      </c>
      <c r="E61" s="218">
        <v>0</v>
      </c>
      <c r="F61" s="121"/>
      <c r="G61" s="118" t="str">
        <f t="shared" si="18"/>
        <v/>
      </c>
      <c r="H61" s="122" t="str">
        <f t="shared" si="10"/>
        <v/>
      </c>
      <c r="I61" s="123" t="str">
        <f t="shared" si="19"/>
        <v/>
      </c>
      <c r="J61" s="182" t="str">
        <f t="shared" si="11"/>
        <v/>
      </c>
      <c r="K61" s="187" t="str">
        <f>IF($E61=0,"",(STIG_Metrics!E61)*$E61)</f>
        <v/>
      </c>
      <c r="L61" s="31" t="str">
        <f>IF($E61=0,"",(STIG_Metrics!F61)*$E61)</f>
        <v/>
      </c>
      <c r="M61" s="47" t="str">
        <f>IF($E61=0,"",(STIG_Metrics!G61)*$E61)</f>
        <v/>
      </c>
      <c r="N61" s="31" t="str">
        <f>IF($E61=0,"",(STIG_Metrics!H61)*$E61)</f>
        <v/>
      </c>
      <c r="O61" s="31" t="str">
        <f>IF($E61=0,"",(STIG_Metrics!E61-STIG_Metrics!F61)*$E61)</f>
        <v/>
      </c>
      <c r="P61" s="47" t="str">
        <f>IF($E61=0,"",(STIG_Metrics!E61-STIG_Metrics!G61)*$E61)</f>
        <v/>
      </c>
      <c r="Q61" s="114" t="str">
        <f>IF($E61=0,"",(STIG_Metrics!E61-STIG_Metrics!H61)*$E61)</f>
        <v/>
      </c>
      <c r="R61" s="115" t="str">
        <f t="shared" si="20"/>
        <v/>
      </c>
      <c r="S61" s="32" t="str">
        <f t="shared" si="21"/>
        <v/>
      </c>
      <c r="T61" s="48" t="str">
        <f t="shared" si="22"/>
        <v/>
      </c>
      <c r="U61" s="237" t="str">
        <f t="shared" si="23"/>
        <v/>
      </c>
      <c r="V61" s="125" t="str">
        <f>IF($E61=0,"",STIG_Metrics!R61)</f>
        <v/>
      </c>
      <c r="W61" s="49" t="str">
        <f>IF($E61=0,"",STIG_Metrics!S61)</f>
        <v/>
      </c>
      <c r="X61" s="33" t="str">
        <f>IF($E61=0,"",STIG_Metrics!T61)</f>
        <v/>
      </c>
      <c r="Y61" s="34" t="str">
        <f t="shared" si="24"/>
        <v/>
      </c>
      <c r="Z61" s="34" t="str">
        <f t="shared" si="27"/>
        <v/>
      </c>
      <c r="AA61" s="50" t="str">
        <f t="shared" si="13"/>
        <v/>
      </c>
      <c r="AB61" s="34" t="str">
        <f t="shared" si="28"/>
        <v/>
      </c>
      <c r="AC61" s="207" t="str">
        <f>IF($E61=0,"",IF(STIG_Metrics!N61=60,0,($E61/STIG_Metrics!N61)/24))</f>
        <v/>
      </c>
      <c r="AD61" s="146" t="str">
        <f>IF($E61=0,"",IF(STIG_Metrics!O61=60,0,($E61/STIG_Metrics!O61)/24))</f>
        <v/>
      </c>
      <c r="AE61" s="146" t="str">
        <f>IF($E61=0,"",IF(STIG_Metrics!P61=60,0,($E61/STIG_Metrics!P61)/24))</f>
        <v/>
      </c>
      <c r="AF61" s="146" t="str">
        <f>IF($E61=0,"",IF(STIG_Metrics!Q61=60,0,($E61/STIG_Metrics!Q61)/24))</f>
        <v/>
      </c>
      <c r="AG61" s="146" t="str">
        <f t="shared" si="25"/>
        <v/>
      </c>
      <c r="AH61" s="146" t="str">
        <f t="shared" si="26"/>
        <v/>
      </c>
      <c r="AI61" s="147" t="str">
        <f>IF($E61=0,"",$E61/STIG_Metrics!N61)</f>
        <v/>
      </c>
      <c r="AJ61" s="147" t="str">
        <f>IF($E61=0,"",$E61/STIG_Metrics!O61)</f>
        <v/>
      </c>
      <c r="AK61" s="147" t="str">
        <f>IF($E61=0,"",$E61/STIG_Metrics!P61)</f>
        <v/>
      </c>
      <c r="AL61" s="147" t="str">
        <f>IF($E61=0,"",$E61/STIG_Metrics!Q61)</f>
        <v/>
      </c>
      <c r="AM61" s="89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89"/>
      <c r="AY61" s="239"/>
      <c r="AZ61" s="110"/>
    </row>
    <row r="62" spans="2:52" ht="39.950000000000003" customHeight="1">
      <c r="B62" s="110"/>
      <c r="C62" s="89"/>
      <c r="D62" s="277" t="str">
        <f>(STIG_Metrics!A62)</f>
        <v>Microsoft Internet Explorer 11</v>
      </c>
      <c r="E62" s="218">
        <v>1863</v>
      </c>
      <c r="F62" s="121"/>
      <c r="G62" s="118">
        <f t="shared" si="18"/>
        <v>2235.6</v>
      </c>
      <c r="H62" s="122">
        <f t="shared" si="10"/>
        <v>281685.59999999998</v>
      </c>
      <c r="I62" s="123">
        <f t="shared" si="19"/>
        <v>558.9</v>
      </c>
      <c r="J62" s="182">
        <f t="shared" si="11"/>
        <v>70421.399999999994</v>
      </c>
      <c r="K62" s="187">
        <f>IF($E62=0,"",(STIG_Metrics!E62)*$E62)</f>
        <v>255231</v>
      </c>
      <c r="L62" s="31">
        <f>IF($E62=0,"",(STIG_Metrics!F62)*$E62)</f>
        <v>247779</v>
      </c>
      <c r="M62" s="47">
        <f>IF($E62=0,"",(STIG_Metrics!G62)*$E62)</f>
        <v>253368</v>
      </c>
      <c r="N62" s="31">
        <f>IF($E62=0,"",(STIG_Metrics!H62)*$E62)</f>
        <v>255231</v>
      </c>
      <c r="O62" s="31">
        <f>IF($E62=0,"",(STIG_Metrics!E62-STIG_Metrics!F62)*$E62)</f>
        <v>7452</v>
      </c>
      <c r="P62" s="47">
        <f>IF($E62=0,"",(STIG_Metrics!E62-STIG_Metrics!G62)*$E62)</f>
        <v>1863</v>
      </c>
      <c r="Q62" s="114">
        <f>IF($E62=0,"",(STIG_Metrics!E62-STIG_Metrics!H62)*$E62)</f>
        <v>0</v>
      </c>
      <c r="R62" s="115" t="str">
        <f t="shared" si="20"/>
        <v>2392 Days 6 Hrs</v>
      </c>
      <c r="S62" s="32" t="str">
        <f t="shared" si="21"/>
        <v>69 Days 6 Hrs</v>
      </c>
      <c r="T62" s="48" t="str">
        <f t="shared" si="22"/>
        <v>17 Days 3 Hrs</v>
      </c>
      <c r="U62" s="237" t="str">
        <f t="shared" si="23"/>
        <v>0 Days 0 Hrs</v>
      </c>
      <c r="V62" s="125">
        <f>IF($E62=0,"",STIG_Metrics!R62)</f>
        <v>33.25</v>
      </c>
      <c r="W62" s="49">
        <f>IF($E62=0,"",STIG_Metrics!S62)</f>
        <v>136</v>
      </c>
      <c r="X62" s="33">
        <f>IF($E62=0,"",STIG_Metrics!T62)</f>
        <v>615.5</v>
      </c>
      <c r="Y62" s="34">
        <f t="shared" si="24"/>
        <v>2411932.9500000002</v>
      </c>
      <c r="Z62" s="34">
        <f t="shared" si="27"/>
        <v>70421.399999999994</v>
      </c>
      <c r="AA62" s="50">
        <f t="shared" si="13"/>
        <v>17605.349999999999</v>
      </c>
      <c r="AB62" s="34">
        <f t="shared" si="28"/>
        <v>0</v>
      </c>
      <c r="AC62" s="207">
        <f>IF($E62=0,"",IF(STIG_Metrics!N62=60,0,($E62/STIG_Metrics!N62)/24))</f>
        <v>797.59687499999984</v>
      </c>
      <c r="AD62" s="146">
        <f>IF($E62=0,"",IF(STIG_Metrics!O62=60,0,($E62/STIG_Metrics!O62)/24))</f>
        <v>23.287499999999998</v>
      </c>
      <c r="AE62" s="146">
        <f>IF($E62=0,"",IF(STIG_Metrics!P62=60,0,($E62/STIG_Metrics!P62)/24))</f>
        <v>5.8218749999999995</v>
      </c>
      <c r="AF62" s="146">
        <f>IF($E62=0,"",IF(STIG_Metrics!Q62=60,0,($E62/STIG_Metrics!Q62)/24))</f>
        <v>0</v>
      </c>
      <c r="AG62" s="146">
        <f t="shared" si="25"/>
        <v>23.287499999999998</v>
      </c>
      <c r="AH62" s="146">
        <f t="shared" si="26"/>
        <v>5.8218749999999995</v>
      </c>
      <c r="AI62" s="147">
        <f>IF($E62=0,"",$E62/STIG_Metrics!N62)</f>
        <v>19142.324999999997</v>
      </c>
      <c r="AJ62" s="147">
        <f>IF($E62=0,"",$E62/STIG_Metrics!O62)</f>
        <v>558.9</v>
      </c>
      <c r="AK62" s="147">
        <f>IF($E62=0,"",$E62/STIG_Metrics!P62)</f>
        <v>139.72499999999999</v>
      </c>
      <c r="AL62" s="147">
        <f>IF($E62=0,"",$E62/STIG_Metrics!Q62)</f>
        <v>31.05</v>
      </c>
      <c r="AM62" s="89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89"/>
      <c r="AY62" s="239"/>
      <c r="AZ62" s="110"/>
    </row>
    <row r="63" spans="2:52" ht="39.950000000000003" customHeight="1">
      <c r="B63" s="110"/>
      <c r="C63" s="89"/>
      <c r="D63" s="277" t="str">
        <f>(STIG_Metrics!A63)</f>
        <v>Microsoft Lync 2013</v>
      </c>
      <c r="E63" s="218">
        <v>0</v>
      </c>
      <c r="F63" s="121"/>
      <c r="G63" s="118" t="str">
        <f t="shared" si="18"/>
        <v/>
      </c>
      <c r="H63" s="122" t="str">
        <f t="shared" si="10"/>
        <v/>
      </c>
      <c r="I63" s="123" t="str">
        <f t="shared" si="19"/>
        <v/>
      </c>
      <c r="J63" s="182" t="str">
        <f t="shared" si="11"/>
        <v/>
      </c>
      <c r="K63" s="187" t="str">
        <f>IF($E63=0,"",(STIG_Metrics!E63)*$E63)</f>
        <v/>
      </c>
      <c r="L63" s="31" t="str">
        <f>IF($E63=0,"",(STIG_Metrics!F63)*$E63)</f>
        <v/>
      </c>
      <c r="M63" s="47" t="str">
        <f>IF($E63=0,"",(STIG_Metrics!G63)*$E63)</f>
        <v/>
      </c>
      <c r="N63" s="31" t="str">
        <f>IF($E63=0,"",(STIG_Metrics!H63)*$E63)</f>
        <v/>
      </c>
      <c r="O63" s="31" t="str">
        <f>IF($E63=0,"",(STIG_Metrics!E63-STIG_Metrics!F63)*$E63)</f>
        <v/>
      </c>
      <c r="P63" s="47" t="str">
        <f>IF($E63=0,"",(STIG_Metrics!E63-STIG_Metrics!G63)*$E63)</f>
        <v/>
      </c>
      <c r="Q63" s="114" t="str">
        <f>IF($E63=0,"",(STIG_Metrics!E63-STIG_Metrics!H63)*$E63)</f>
        <v/>
      </c>
      <c r="R63" s="115" t="str">
        <f t="shared" si="20"/>
        <v/>
      </c>
      <c r="S63" s="32" t="str">
        <f t="shared" si="21"/>
        <v/>
      </c>
      <c r="T63" s="48" t="str">
        <f t="shared" si="22"/>
        <v/>
      </c>
      <c r="U63" s="237" t="str">
        <f t="shared" si="23"/>
        <v/>
      </c>
      <c r="V63" s="125" t="str">
        <f>IF($E63=0,"",STIG_Metrics!R63)</f>
        <v/>
      </c>
      <c r="W63" s="49" t="str">
        <f>IF($E63=0,"",STIG_Metrics!S63)</f>
        <v/>
      </c>
      <c r="X63" s="33" t="str">
        <f>IF($E63=0,"",STIG_Metrics!T63)</f>
        <v/>
      </c>
      <c r="Y63" s="34" t="str">
        <f t="shared" si="24"/>
        <v/>
      </c>
      <c r="Z63" s="34" t="str">
        <f t="shared" si="27"/>
        <v/>
      </c>
      <c r="AA63" s="50" t="str">
        <f t="shared" si="13"/>
        <v/>
      </c>
      <c r="AB63" s="34" t="str">
        <f t="shared" si="28"/>
        <v/>
      </c>
      <c r="AC63" s="207" t="str">
        <f>IF($E63=0,"",IF(STIG_Metrics!N63=60,0,($E63/STIG_Metrics!N63)/24))</f>
        <v/>
      </c>
      <c r="AD63" s="146" t="str">
        <f>IF($E63=0,"",IF(STIG_Metrics!O63=60,0,($E63/STIG_Metrics!O63)/24))</f>
        <v/>
      </c>
      <c r="AE63" s="146" t="str">
        <f>IF($E63=0,"",IF(STIG_Metrics!P63=60,0,($E63/STIG_Metrics!P63)/24))</f>
        <v/>
      </c>
      <c r="AF63" s="146" t="str">
        <f>IF($E63=0,"",IF(STIG_Metrics!Q63=60,0,($E63/STIG_Metrics!Q63)/24))</f>
        <v/>
      </c>
      <c r="AG63" s="146" t="str">
        <f t="shared" si="25"/>
        <v/>
      </c>
      <c r="AH63" s="146" t="str">
        <f t="shared" si="26"/>
        <v/>
      </c>
      <c r="AI63" s="147" t="str">
        <f>IF($E63=0,"",$E63/STIG_Metrics!N63)</f>
        <v/>
      </c>
      <c r="AJ63" s="147" t="str">
        <f>IF($E63=0,"",$E63/STIG_Metrics!O63)</f>
        <v/>
      </c>
      <c r="AK63" s="147" t="str">
        <f>IF($E63=0,"",$E63/STIG_Metrics!P63)</f>
        <v/>
      </c>
      <c r="AL63" s="147" t="str">
        <f>IF($E63=0,"",$E63/STIG_Metrics!Q63)</f>
        <v/>
      </c>
      <c r="AM63" s="89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89"/>
      <c r="AY63" s="239"/>
      <c r="AZ63" s="110"/>
    </row>
    <row r="64" spans="2:52" ht="39.950000000000003" customHeight="1">
      <c r="B64" s="110"/>
      <c r="C64" s="89"/>
      <c r="D64" s="277" t="str">
        <f>(STIG_Metrics!A64)</f>
        <v>Microsoft Office 365 ProPlus</v>
      </c>
      <c r="E64" s="218">
        <v>1620</v>
      </c>
      <c r="F64" s="121"/>
      <c r="G64" s="118">
        <f t="shared" si="18"/>
        <v>2916</v>
      </c>
      <c r="H64" s="122">
        <f t="shared" si="10"/>
        <v>367416</v>
      </c>
      <c r="I64" s="123">
        <f t="shared" si="19"/>
        <v>2916</v>
      </c>
      <c r="J64" s="182">
        <f t="shared" si="11"/>
        <v>367416</v>
      </c>
      <c r="K64" s="187">
        <f>IF($E64=0,"",(STIG_Metrics!E64)*$E64)</f>
        <v>231660</v>
      </c>
      <c r="L64" s="31">
        <f>IF($E64=0,"",(STIG_Metrics!F64)*$E64)</f>
        <v>221940</v>
      </c>
      <c r="M64" s="47">
        <f>IF($E64=0,"",(STIG_Metrics!G64)*$E64)</f>
        <v>221940</v>
      </c>
      <c r="N64" s="31">
        <f>IF($E64=0,"",(STIG_Metrics!H64)*$E64)</f>
        <v>231660</v>
      </c>
      <c r="O64" s="31">
        <f>IF($E64=0,"",(STIG_Metrics!E64-STIG_Metrics!F64)*$E64)</f>
        <v>9720</v>
      </c>
      <c r="P64" s="47">
        <f>IF($E64=0,"",(STIG_Metrics!E64-STIG_Metrics!G64)*$E64)</f>
        <v>9720</v>
      </c>
      <c r="Q64" s="114">
        <f>IF($E64=0,"",(STIG_Metrics!E64-STIG_Metrics!H64)*$E64)</f>
        <v>0</v>
      </c>
      <c r="R64" s="115" t="str">
        <f t="shared" si="20"/>
        <v>2171 Days 6 Hrs</v>
      </c>
      <c r="S64" s="32" t="str">
        <f t="shared" si="21"/>
        <v>91 Days 1 Hrs</v>
      </c>
      <c r="T64" s="48" t="str">
        <f t="shared" si="22"/>
        <v>91 Days 1 Hrs</v>
      </c>
      <c r="U64" s="237" t="str">
        <f t="shared" si="23"/>
        <v>0 Days 0 Hrs</v>
      </c>
      <c r="V64" s="125">
        <f>IF($E64=0,"",STIG_Metrics!R64)</f>
        <v>22.833333333333332</v>
      </c>
      <c r="W64" s="49">
        <f>IF($E64=0,"",STIG_Metrics!S64)</f>
        <v>22.833333333333332</v>
      </c>
      <c r="X64" s="33">
        <f>IF($E64=0,"",STIG_Metrics!T64)</f>
        <v>642.5</v>
      </c>
      <c r="Y64" s="34">
        <f t="shared" si="24"/>
        <v>2189187</v>
      </c>
      <c r="Z64" s="34">
        <f t="shared" si="27"/>
        <v>91854</v>
      </c>
      <c r="AA64" s="50">
        <f t="shared" si="13"/>
        <v>91854</v>
      </c>
      <c r="AB64" s="34">
        <f t="shared" si="28"/>
        <v>0</v>
      </c>
      <c r="AC64" s="207">
        <f>IF($E64=0,"",IF(STIG_Metrics!N64=60,0,($E64/STIG_Metrics!N64)/24))</f>
        <v>723.9375</v>
      </c>
      <c r="AD64" s="146">
        <f>IF($E64=0,"",IF(STIG_Metrics!O64=60,0,($E64/STIG_Metrics!O64)/24))</f>
        <v>30.375</v>
      </c>
      <c r="AE64" s="146">
        <f>IF($E64=0,"",IF(STIG_Metrics!P64=60,0,($E64/STIG_Metrics!P64)/24))</f>
        <v>30.375</v>
      </c>
      <c r="AF64" s="146">
        <f>IF($E64=0,"",IF(STIG_Metrics!Q64=60,0,($E64/STIG_Metrics!Q64)/24))</f>
        <v>0</v>
      </c>
      <c r="AG64" s="146">
        <f t="shared" si="25"/>
        <v>30.375</v>
      </c>
      <c r="AH64" s="146">
        <f t="shared" si="26"/>
        <v>30.375</v>
      </c>
      <c r="AI64" s="147">
        <f>IF($E64=0,"",$E64/STIG_Metrics!N64)</f>
        <v>17374.5</v>
      </c>
      <c r="AJ64" s="147">
        <f>IF($E64=0,"",$E64/STIG_Metrics!O64)</f>
        <v>729</v>
      </c>
      <c r="AK64" s="147">
        <f>IF($E64=0,"",$E64/STIG_Metrics!P64)</f>
        <v>729</v>
      </c>
      <c r="AL64" s="147">
        <f>IF($E64=0,"",$E64/STIG_Metrics!Q64)</f>
        <v>27</v>
      </c>
      <c r="AM64" s="89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89"/>
      <c r="AY64" s="239"/>
      <c r="AZ64" s="110"/>
    </row>
    <row r="65" spans="2:52" ht="39.950000000000003" customHeight="1">
      <c r="B65" s="110"/>
      <c r="C65" s="89"/>
      <c r="D65" s="277" t="str">
        <f>(STIG_Metrics!A65)</f>
        <v>Microsoft Office System 2013</v>
      </c>
      <c r="E65" s="218">
        <v>0</v>
      </c>
      <c r="F65" s="121"/>
      <c r="G65" s="118" t="str">
        <f t="shared" si="18"/>
        <v/>
      </c>
      <c r="H65" s="122" t="str">
        <f t="shared" si="10"/>
        <v/>
      </c>
      <c r="I65" s="123" t="str">
        <f t="shared" si="19"/>
        <v/>
      </c>
      <c r="J65" s="182" t="str">
        <f t="shared" si="11"/>
        <v/>
      </c>
      <c r="K65" s="187" t="str">
        <f>IF($E65=0,"",(STIG_Metrics!E65)*$E65)</f>
        <v/>
      </c>
      <c r="L65" s="31" t="str">
        <f>IF($E65=0,"",(STIG_Metrics!F65)*$E65)</f>
        <v/>
      </c>
      <c r="M65" s="47" t="str">
        <f>IF($E65=0,"",(STIG_Metrics!G65)*$E65)</f>
        <v/>
      </c>
      <c r="N65" s="31" t="str">
        <f>IF($E65=0,"",(STIG_Metrics!H65)*$E65)</f>
        <v/>
      </c>
      <c r="O65" s="31" t="str">
        <f>IF($E65=0,"",(STIG_Metrics!E65-STIG_Metrics!F65)*$E65)</f>
        <v/>
      </c>
      <c r="P65" s="47" t="str">
        <f>IF($E65=0,"",(STIG_Metrics!E65-STIG_Metrics!G65)*$E65)</f>
        <v/>
      </c>
      <c r="Q65" s="114" t="str">
        <f>IF($E65=0,"",(STIG_Metrics!E65-STIG_Metrics!H65)*$E65)</f>
        <v/>
      </c>
      <c r="R65" s="115" t="str">
        <f t="shared" si="20"/>
        <v/>
      </c>
      <c r="S65" s="32" t="str">
        <f t="shared" si="21"/>
        <v/>
      </c>
      <c r="T65" s="48" t="str">
        <f t="shared" si="22"/>
        <v/>
      </c>
      <c r="U65" s="237" t="str">
        <f t="shared" si="23"/>
        <v/>
      </c>
      <c r="V65" s="125" t="str">
        <f>IF($E65=0,"",STIG_Metrics!R65)</f>
        <v/>
      </c>
      <c r="W65" s="49" t="str">
        <f>IF($E65=0,"",STIG_Metrics!S65)</f>
        <v/>
      </c>
      <c r="X65" s="33" t="str">
        <f>IF($E65=0,"",STIG_Metrics!T65)</f>
        <v/>
      </c>
      <c r="Y65" s="34" t="str">
        <f t="shared" si="24"/>
        <v/>
      </c>
      <c r="Z65" s="34" t="str">
        <f t="shared" si="27"/>
        <v/>
      </c>
      <c r="AA65" s="50" t="str">
        <f t="shared" si="13"/>
        <v/>
      </c>
      <c r="AB65" s="34" t="str">
        <f t="shared" si="28"/>
        <v/>
      </c>
      <c r="AC65" s="207" t="str">
        <f>IF($E65=0,"",IF(STIG_Metrics!N65=60,0,($E65/STIG_Metrics!N65)/24))</f>
        <v/>
      </c>
      <c r="AD65" s="146" t="str">
        <f>IF($E65=0,"",IF(STIG_Metrics!O65=60,0,($E65/STIG_Metrics!O65)/24))</f>
        <v/>
      </c>
      <c r="AE65" s="146" t="str">
        <f>IF($E65=0,"",IF(STIG_Metrics!P65=60,0,($E65/STIG_Metrics!P65)/24))</f>
        <v/>
      </c>
      <c r="AF65" s="146" t="str">
        <f>IF($E65=0,"",IF(STIG_Metrics!Q65=60,0,($E65/STIG_Metrics!Q65)/24))</f>
        <v/>
      </c>
      <c r="AG65" s="146" t="str">
        <f t="shared" si="25"/>
        <v/>
      </c>
      <c r="AH65" s="146" t="str">
        <f t="shared" si="26"/>
        <v/>
      </c>
      <c r="AI65" s="147" t="str">
        <f>IF($E65=0,"",$E65/STIG_Metrics!N65)</f>
        <v/>
      </c>
      <c r="AJ65" s="147" t="str">
        <f>IF($E65=0,"",$E65/STIG_Metrics!O65)</f>
        <v/>
      </c>
      <c r="AK65" s="147" t="str">
        <f>IF($E65=0,"",$E65/STIG_Metrics!P65)</f>
        <v/>
      </c>
      <c r="AL65" s="147" t="str">
        <f>IF($E65=0,"",$E65/STIG_Metrics!Q65)</f>
        <v/>
      </c>
      <c r="AM65" s="89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89"/>
      <c r="AY65" s="239"/>
      <c r="AZ65" s="110"/>
    </row>
    <row r="66" spans="2:52" ht="39.950000000000003" customHeight="1">
      <c r="B66" s="110"/>
      <c r="C66" s="89"/>
      <c r="D66" s="277" t="str">
        <f>(STIG_Metrics!A66)</f>
        <v>Microsoft Office System 2016</v>
      </c>
      <c r="E66" s="218">
        <v>7</v>
      </c>
      <c r="F66" s="121"/>
      <c r="G66" s="118">
        <f t="shared" si="18"/>
        <v>42</v>
      </c>
      <c r="H66" s="122">
        <f t="shared" si="10"/>
        <v>5292</v>
      </c>
      <c r="I66" s="123">
        <f t="shared" si="19"/>
        <v>42</v>
      </c>
      <c r="J66" s="182">
        <f t="shared" si="11"/>
        <v>5292</v>
      </c>
      <c r="K66" s="187">
        <f>IF($E66=0,"",(STIG_Metrics!E66)*$E66)</f>
        <v>140</v>
      </c>
      <c r="L66" s="31">
        <f>IF($E66=0,"",(STIG_Metrics!F66)*$E66)</f>
        <v>0</v>
      </c>
      <c r="M66" s="47">
        <f>IF($E66=0,"",(STIG_Metrics!G66)*$E66)</f>
        <v>0</v>
      </c>
      <c r="N66" s="31">
        <f>IF($E66=0,"",(STIG_Metrics!H66)*$E66)</f>
        <v>140</v>
      </c>
      <c r="O66" s="31">
        <f>IF($E66=0,"",(STIG_Metrics!E66-STIG_Metrics!F66)*$E66)</f>
        <v>140</v>
      </c>
      <c r="P66" s="47">
        <f>IF($E66=0,"",(STIG_Metrics!E66-STIG_Metrics!G66)*$E66)</f>
        <v>140</v>
      </c>
      <c r="Q66" s="114">
        <f>IF($E66=0,"",(STIG_Metrics!E66-STIG_Metrics!H66)*$E66)</f>
        <v>0</v>
      </c>
      <c r="R66" s="115" t="str">
        <f t="shared" si="20"/>
        <v>1 Days 2 Hrs</v>
      </c>
      <c r="S66" s="32" t="str">
        <f t="shared" si="21"/>
        <v>1 Days 2 Hrs</v>
      </c>
      <c r="T66" s="48" t="str">
        <f t="shared" si="22"/>
        <v>1 Days 2 Hrs</v>
      </c>
      <c r="U66" s="237" t="str">
        <f t="shared" si="23"/>
        <v>0 Days 0 Hrs</v>
      </c>
      <c r="V66" s="125">
        <f>IF($E66=0,"",STIG_Metrics!R66)</f>
        <v>0</v>
      </c>
      <c r="W66" s="49">
        <f>IF($E66=0,"",STIG_Metrics!S66)</f>
        <v>0</v>
      </c>
      <c r="X66" s="33">
        <f>IF($E66=0,"",STIG_Metrics!T66)</f>
        <v>89.000000000000014</v>
      </c>
      <c r="Y66" s="34">
        <f t="shared" si="24"/>
        <v>1323</v>
      </c>
      <c r="Z66" s="34">
        <f t="shared" si="27"/>
        <v>1323</v>
      </c>
      <c r="AA66" s="50">
        <f t="shared" si="13"/>
        <v>1323</v>
      </c>
      <c r="AB66" s="34">
        <f t="shared" si="28"/>
        <v>0</v>
      </c>
      <c r="AC66" s="207">
        <f>IF($E66=0,"",IF(STIG_Metrics!N66=60,0,($E66/STIG_Metrics!N66)/24))</f>
        <v>0.4375</v>
      </c>
      <c r="AD66" s="146">
        <f>IF($E66=0,"",IF(STIG_Metrics!O66=60,0,($E66/STIG_Metrics!O66)/24))</f>
        <v>0.4375</v>
      </c>
      <c r="AE66" s="146">
        <f>IF($E66=0,"",IF(STIG_Metrics!P66=60,0,($E66/STIG_Metrics!P66)/24))</f>
        <v>0.4375</v>
      </c>
      <c r="AF66" s="146">
        <f>IF($E66=0,"",IF(STIG_Metrics!Q66=60,0,($E66/STIG_Metrics!Q66)/24))</f>
        <v>0</v>
      </c>
      <c r="AG66" s="146">
        <f t="shared" si="25"/>
        <v>0.4375</v>
      </c>
      <c r="AH66" s="146">
        <f t="shared" si="26"/>
        <v>0.4375</v>
      </c>
      <c r="AI66" s="147">
        <f>IF($E66=0,"",$E66/STIG_Metrics!N66)</f>
        <v>10.5</v>
      </c>
      <c r="AJ66" s="147">
        <f>IF($E66=0,"",$E66/STIG_Metrics!O66)</f>
        <v>10.5</v>
      </c>
      <c r="AK66" s="147">
        <f>IF($E66=0,"",$E66/STIG_Metrics!P66)</f>
        <v>10.5</v>
      </c>
      <c r="AL66" s="147">
        <f>IF($E66=0,"",$E66/STIG_Metrics!Q66)</f>
        <v>0.11666666666666667</v>
      </c>
      <c r="AM66" s="111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89"/>
      <c r="AY66" s="239"/>
      <c r="AZ66" s="110"/>
    </row>
    <row r="67" spans="2:52" ht="39.950000000000003" customHeight="1">
      <c r="B67" s="110"/>
      <c r="C67" s="89"/>
      <c r="D67" s="277" t="str">
        <f>(STIG_Metrics!A67)</f>
        <v>Microsoft OneDrive</v>
      </c>
      <c r="E67" s="218">
        <v>1793</v>
      </c>
      <c r="F67" s="121"/>
      <c r="G67" s="118">
        <f t="shared" si="18"/>
        <v>6454.7999999999993</v>
      </c>
      <c r="H67" s="122">
        <f t="shared" si="10"/>
        <v>813304.79999999993</v>
      </c>
      <c r="I67" s="123">
        <f t="shared" si="19"/>
        <v>0</v>
      </c>
      <c r="J67" s="182">
        <f t="shared" si="11"/>
        <v>0</v>
      </c>
      <c r="K67" s="187">
        <f>IF($E67=0,"",(STIG_Metrics!E67)*$E67)</f>
        <v>21516</v>
      </c>
      <c r="L67" s="31">
        <f>IF($E67=0,"",(STIG_Metrics!F67)*$E67)</f>
        <v>0</v>
      </c>
      <c r="M67" s="47">
        <f>IF($E67=0,"",(STIG_Metrics!G67)*$E67)</f>
        <v>21516</v>
      </c>
      <c r="N67" s="31">
        <f>IF($E67=0,"",(STIG_Metrics!H67)*$E67)</f>
        <v>21516</v>
      </c>
      <c r="O67" s="31">
        <f>IF($E67=0,"",(STIG_Metrics!E67-STIG_Metrics!F67)*$E67)</f>
        <v>21516</v>
      </c>
      <c r="P67" s="47">
        <f>IF($E67=0,"",(STIG_Metrics!E67-STIG_Metrics!G67)*$E67)</f>
        <v>0</v>
      </c>
      <c r="Q67" s="114">
        <f>IF($E67=0,"",(STIG_Metrics!E67-STIG_Metrics!H67)*$E67)</f>
        <v>0</v>
      </c>
      <c r="R67" s="115" t="str">
        <f t="shared" si="20"/>
        <v>201 Days 5 Hrs</v>
      </c>
      <c r="S67" s="32" t="str">
        <f t="shared" si="21"/>
        <v>201 Days 5 Hrs</v>
      </c>
      <c r="T67" s="48" t="str">
        <f t="shared" si="22"/>
        <v>0 Days 0 Hrs</v>
      </c>
      <c r="U67" s="237" t="str">
        <f t="shared" si="23"/>
        <v>0 Days 0 Hrs</v>
      </c>
      <c r="V67" s="125">
        <f>IF($E67=0,"",STIG_Metrics!R67)</f>
        <v>0</v>
      </c>
      <c r="W67" s="49">
        <f>IF($E67=0,"",STIG_Metrics!S67)</f>
        <v>52.999999999999993</v>
      </c>
      <c r="X67" s="33">
        <f>IF($E67=0,"",STIG_Metrics!T67)</f>
        <v>52.999999999999993</v>
      </c>
      <c r="Y67" s="34">
        <f t="shared" si="24"/>
        <v>203326.2</v>
      </c>
      <c r="Z67" s="34">
        <f t="shared" si="27"/>
        <v>203326.2</v>
      </c>
      <c r="AA67" s="50">
        <f t="shared" si="13"/>
        <v>0</v>
      </c>
      <c r="AB67" s="34">
        <f t="shared" si="28"/>
        <v>0</v>
      </c>
      <c r="AC67" s="207">
        <f>IF($E67=0,"",IF(STIG_Metrics!N67=60,0,($E67/STIG_Metrics!N67)/24))</f>
        <v>67.237499999999997</v>
      </c>
      <c r="AD67" s="146">
        <f>IF($E67=0,"",IF(STIG_Metrics!O67=60,0,($E67/STIG_Metrics!O67)/24))</f>
        <v>67.237499999999997</v>
      </c>
      <c r="AE67" s="146">
        <f>IF($E67=0,"",IF(STIG_Metrics!P67=60,0,($E67/STIG_Metrics!P67)/24))</f>
        <v>0</v>
      </c>
      <c r="AF67" s="146">
        <f>IF($E67=0,"",IF(STIG_Metrics!Q67=60,0,($E67/STIG_Metrics!Q67)/24))</f>
        <v>0</v>
      </c>
      <c r="AG67" s="146">
        <f t="shared" si="25"/>
        <v>67.237499999999997</v>
      </c>
      <c r="AH67" s="146">
        <f t="shared" si="26"/>
        <v>0</v>
      </c>
      <c r="AI67" s="147">
        <f>IF($E67=0,"",$E67/STIG_Metrics!N67)</f>
        <v>1613.6999999999998</v>
      </c>
      <c r="AJ67" s="147">
        <f>IF($E67=0,"",$E67/STIG_Metrics!O67)</f>
        <v>1613.6999999999998</v>
      </c>
      <c r="AK67" s="147">
        <f>IF($E67=0,"",$E67/STIG_Metrics!P67)</f>
        <v>29.883333333333333</v>
      </c>
      <c r="AL67" s="147">
        <f>IF($E67=0,"",$E67/STIG_Metrics!Q67)</f>
        <v>29.883333333333333</v>
      </c>
      <c r="AM67" s="111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89"/>
      <c r="AY67" s="239"/>
      <c r="AZ67" s="110"/>
    </row>
    <row r="68" spans="2:52" ht="39.950000000000003" customHeight="1">
      <c r="B68" s="110"/>
      <c r="C68" s="89"/>
      <c r="D68" s="277" t="str">
        <f>(STIG_Metrics!A68)</f>
        <v>Microsoft OneNote 2013</v>
      </c>
      <c r="E68" s="218">
        <v>1850</v>
      </c>
      <c r="F68" s="121"/>
      <c r="G68" s="118">
        <f t="shared" si="18"/>
        <v>6105</v>
      </c>
      <c r="H68" s="122">
        <f t="shared" si="10"/>
        <v>769230</v>
      </c>
      <c r="I68" s="123">
        <f t="shared" si="19"/>
        <v>6105</v>
      </c>
      <c r="J68" s="182">
        <f t="shared" si="11"/>
        <v>769230</v>
      </c>
      <c r="K68" s="187">
        <f>IF($E68=0,"",(STIG_Metrics!E68)*$E68)</f>
        <v>20350</v>
      </c>
      <c r="L68" s="31">
        <f>IF($E68=0,"",(STIG_Metrics!F68)*$E68)</f>
        <v>0</v>
      </c>
      <c r="M68" s="47">
        <f>IF($E68=0,"",(STIG_Metrics!G68)*$E68)</f>
        <v>0</v>
      </c>
      <c r="N68" s="31">
        <f>IF($E68=0,"",(STIG_Metrics!H68)*$E68)</f>
        <v>20350</v>
      </c>
      <c r="O68" s="31">
        <f>IF($E68=0,"",(STIG_Metrics!E68-STIG_Metrics!F68)*$E68)</f>
        <v>20350</v>
      </c>
      <c r="P68" s="47">
        <f>IF($E68=0,"",(STIG_Metrics!E68-STIG_Metrics!G68)*$E68)</f>
        <v>20350</v>
      </c>
      <c r="Q68" s="114">
        <f>IF($E68=0,"",(STIG_Metrics!E68-STIG_Metrics!H68)*$E68)</f>
        <v>0</v>
      </c>
      <c r="R68" s="115" t="str">
        <f t="shared" si="20"/>
        <v>190 Days 6 Hrs</v>
      </c>
      <c r="S68" s="32" t="str">
        <f t="shared" si="21"/>
        <v>190 Days 6 Hrs</v>
      </c>
      <c r="T68" s="48" t="str">
        <f t="shared" si="22"/>
        <v>190 Days 6 Hrs</v>
      </c>
      <c r="U68" s="237" t="str">
        <f t="shared" si="23"/>
        <v>0 Days 0 Hrs</v>
      </c>
      <c r="V68" s="125">
        <f>IF($E68=0,"",STIG_Metrics!R68)</f>
        <v>0</v>
      </c>
      <c r="W68" s="49">
        <f>IF($E68=0,"",STIG_Metrics!S68)</f>
        <v>0</v>
      </c>
      <c r="X68" s="33">
        <f>IF($E68=0,"",STIG_Metrics!T68)</f>
        <v>48.5</v>
      </c>
      <c r="Y68" s="34">
        <f t="shared" si="24"/>
        <v>192307.5</v>
      </c>
      <c r="Z68" s="34">
        <f t="shared" si="27"/>
        <v>192307.5</v>
      </c>
      <c r="AA68" s="50">
        <f t="shared" si="13"/>
        <v>192307.5</v>
      </c>
      <c r="AB68" s="34">
        <f t="shared" si="28"/>
        <v>0</v>
      </c>
      <c r="AC68" s="207">
        <f>IF($E68=0,"",IF(STIG_Metrics!N68=60,0,($E68/STIG_Metrics!N68)/24))</f>
        <v>63.59375</v>
      </c>
      <c r="AD68" s="146">
        <f>IF($E68=0,"",IF(STIG_Metrics!O68=60,0,($E68/STIG_Metrics!O68)/24))</f>
        <v>63.59375</v>
      </c>
      <c r="AE68" s="146">
        <f>IF($E68=0,"",IF(STIG_Metrics!P68=60,0,($E68/STIG_Metrics!P68)/24))</f>
        <v>63.59375</v>
      </c>
      <c r="AF68" s="146">
        <f>IF($E68=0,"",IF(STIG_Metrics!Q68=60,0,($E68/STIG_Metrics!Q68)/24))</f>
        <v>0</v>
      </c>
      <c r="AG68" s="146">
        <f t="shared" si="25"/>
        <v>63.59375</v>
      </c>
      <c r="AH68" s="146">
        <f t="shared" si="26"/>
        <v>63.59375</v>
      </c>
      <c r="AI68" s="147">
        <f>IF($E68=0,"",$E68/STIG_Metrics!N68)</f>
        <v>1526.25</v>
      </c>
      <c r="AJ68" s="147">
        <f>IF($E68=0,"",$E68/STIG_Metrics!O68)</f>
        <v>1526.25</v>
      </c>
      <c r="AK68" s="147">
        <f>IF($E68=0,"",$E68/STIG_Metrics!P68)</f>
        <v>1526.25</v>
      </c>
      <c r="AL68" s="147">
        <f>IF($E68=0,"",$E68/STIG_Metrics!Q68)</f>
        <v>30.833333333333332</v>
      </c>
      <c r="AM68" s="111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89"/>
      <c r="AY68" s="239"/>
      <c r="AZ68" s="110"/>
    </row>
    <row r="69" spans="2:52" ht="39.950000000000003" customHeight="1">
      <c r="B69" s="110"/>
      <c r="C69" s="89"/>
      <c r="D69" s="277" t="str">
        <f>(STIG_Metrics!A69)</f>
        <v>Microsoft OneNote 2016</v>
      </c>
      <c r="E69" s="218">
        <v>3</v>
      </c>
      <c r="F69" s="121"/>
      <c r="G69" s="118">
        <f t="shared" si="18"/>
        <v>9</v>
      </c>
      <c r="H69" s="122">
        <f t="shared" si="10"/>
        <v>1134</v>
      </c>
      <c r="I69" s="123">
        <f t="shared" si="19"/>
        <v>9</v>
      </c>
      <c r="J69" s="182">
        <f t="shared" si="11"/>
        <v>1134</v>
      </c>
      <c r="K69" s="187">
        <f>IF($E69=0,"",(STIG_Metrics!E69)*$E69)</f>
        <v>30</v>
      </c>
      <c r="L69" s="31">
        <f>IF($E69=0,"",(STIG_Metrics!F69)*$E69)</f>
        <v>0</v>
      </c>
      <c r="M69" s="47">
        <f>IF($E69=0,"",(STIG_Metrics!G69)*$E69)</f>
        <v>0</v>
      </c>
      <c r="N69" s="31">
        <f>IF($E69=0,"",(STIG_Metrics!H69)*$E69)</f>
        <v>30</v>
      </c>
      <c r="O69" s="31">
        <f>IF($E69=0,"",(STIG_Metrics!E69-STIG_Metrics!F69)*$E69)</f>
        <v>30</v>
      </c>
      <c r="P69" s="47">
        <f>IF($E69=0,"",(STIG_Metrics!E69-STIG_Metrics!G69)*$E69)</f>
        <v>30</v>
      </c>
      <c r="Q69" s="114">
        <f>IF($E69=0,"",(STIG_Metrics!E69-STIG_Metrics!H69)*$E69)</f>
        <v>0</v>
      </c>
      <c r="R69" s="115" t="str">
        <f t="shared" si="20"/>
        <v>0 Days 2 Hrs</v>
      </c>
      <c r="S69" s="32" t="str">
        <f t="shared" si="21"/>
        <v>0 Days 2 Hrs</v>
      </c>
      <c r="T69" s="48" t="str">
        <f t="shared" si="22"/>
        <v>0 Days 2 Hrs</v>
      </c>
      <c r="U69" s="237" t="str">
        <f t="shared" si="23"/>
        <v>0 Days 0 Hrs</v>
      </c>
      <c r="V69" s="125">
        <f>IF($E69=0,"",STIG_Metrics!R69)</f>
        <v>0</v>
      </c>
      <c r="W69" s="49">
        <f>IF($E69=0,"",STIG_Metrics!S69)</f>
        <v>0</v>
      </c>
      <c r="X69" s="33">
        <f>IF($E69=0,"",STIG_Metrics!T69)</f>
        <v>44</v>
      </c>
      <c r="Y69" s="34">
        <f t="shared" si="24"/>
        <v>283.5</v>
      </c>
      <c r="Z69" s="34">
        <f t="shared" si="27"/>
        <v>283.5</v>
      </c>
      <c r="AA69" s="50">
        <f t="shared" si="13"/>
        <v>283.5</v>
      </c>
      <c r="AB69" s="34">
        <f t="shared" si="28"/>
        <v>0</v>
      </c>
      <c r="AC69" s="207">
        <f>IF($E69=0,"",IF(STIG_Metrics!N69=60,0,($E69/STIG_Metrics!N69)/24))</f>
        <v>9.375E-2</v>
      </c>
      <c r="AD69" s="146">
        <f>IF($E69=0,"",IF(STIG_Metrics!O69=60,0,($E69/STIG_Metrics!O69)/24))</f>
        <v>9.375E-2</v>
      </c>
      <c r="AE69" s="146">
        <f>IF($E69=0,"",IF(STIG_Metrics!P69=60,0,($E69/STIG_Metrics!P69)/24))</f>
        <v>9.375E-2</v>
      </c>
      <c r="AF69" s="146">
        <f>IF($E69=0,"",IF(STIG_Metrics!Q69=60,0,($E69/STIG_Metrics!Q69)/24))</f>
        <v>0</v>
      </c>
      <c r="AG69" s="146">
        <f t="shared" si="25"/>
        <v>9.375E-2</v>
      </c>
      <c r="AH69" s="146">
        <f t="shared" si="26"/>
        <v>9.375E-2</v>
      </c>
      <c r="AI69" s="147">
        <f>IF($E69=0,"",$E69/STIG_Metrics!N69)</f>
        <v>2.25</v>
      </c>
      <c r="AJ69" s="147">
        <f>IF($E69=0,"",$E69/STIG_Metrics!O69)</f>
        <v>2.25</v>
      </c>
      <c r="AK69" s="147">
        <f>IF($E69=0,"",$E69/STIG_Metrics!P69)</f>
        <v>2.25</v>
      </c>
      <c r="AL69" s="147">
        <f>IF($E69=0,"",$E69/STIG_Metrics!Q69)</f>
        <v>0.05</v>
      </c>
      <c r="AM69" s="111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89"/>
      <c r="AY69" s="239"/>
      <c r="AZ69" s="110"/>
    </row>
    <row r="70" spans="2:52" ht="39.950000000000003" customHeight="1">
      <c r="B70" s="110"/>
      <c r="C70" s="89"/>
      <c r="D70" s="277" t="str">
        <f>(STIG_Metrics!A70)</f>
        <v>Microsoft Outlook 2013</v>
      </c>
      <c r="E70" s="218">
        <v>0</v>
      </c>
      <c r="F70" s="121"/>
      <c r="G70" s="118" t="str">
        <f t="shared" si="18"/>
        <v/>
      </c>
      <c r="H70" s="122" t="str">
        <f t="shared" si="10"/>
        <v/>
      </c>
      <c r="I70" s="123" t="str">
        <f t="shared" si="19"/>
        <v/>
      </c>
      <c r="J70" s="182" t="str">
        <f t="shared" si="11"/>
        <v/>
      </c>
      <c r="K70" s="187" t="str">
        <f>IF($E70=0,"",(STIG_Metrics!E70)*$E70)</f>
        <v/>
      </c>
      <c r="L70" s="31" t="str">
        <f>IF($E70=0,"",(STIG_Metrics!F70)*$E70)</f>
        <v/>
      </c>
      <c r="M70" s="47" t="str">
        <f>IF($E70=0,"",(STIG_Metrics!G70)*$E70)</f>
        <v/>
      </c>
      <c r="N70" s="31" t="str">
        <f>IF($E70=0,"",(STIG_Metrics!H70)*$E70)</f>
        <v/>
      </c>
      <c r="O70" s="31" t="str">
        <f>IF($E70=0,"",(STIG_Metrics!E70-STIG_Metrics!F70)*$E70)</f>
        <v/>
      </c>
      <c r="P70" s="47" t="str">
        <f>IF($E70=0,"",(STIG_Metrics!E70-STIG_Metrics!G70)*$E70)</f>
        <v/>
      </c>
      <c r="Q70" s="114" t="str">
        <f>IF($E70=0,"",(STIG_Metrics!E70-STIG_Metrics!H70)*$E70)</f>
        <v/>
      </c>
      <c r="R70" s="115" t="str">
        <f t="shared" si="20"/>
        <v/>
      </c>
      <c r="S70" s="32" t="str">
        <f t="shared" si="21"/>
        <v/>
      </c>
      <c r="T70" s="48" t="str">
        <f t="shared" si="22"/>
        <v/>
      </c>
      <c r="U70" s="237" t="str">
        <f t="shared" si="23"/>
        <v/>
      </c>
      <c r="V70" s="125" t="str">
        <f>IF($E70=0,"",STIG_Metrics!R70)</f>
        <v/>
      </c>
      <c r="W70" s="49" t="str">
        <f>IF($E70=0,"",STIG_Metrics!S70)</f>
        <v/>
      </c>
      <c r="X70" s="33" t="str">
        <f>IF($E70=0,"",STIG_Metrics!T70)</f>
        <v/>
      </c>
      <c r="Y70" s="34" t="str">
        <f t="shared" si="24"/>
        <v/>
      </c>
      <c r="Z70" s="34" t="str">
        <f t="shared" si="27"/>
        <v/>
      </c>
      <c r="AA70" s="50" t="str">
        <f t="shared" si="13"/>
        <v/>
      </c>
      <c r="AB70" s="34" t="str">
        <f t="shared" si="28"/>
        <v/>
      </c>
      <c r="AC70" s="207" t="str">
        <f>IF($E70=0,"",IF(STIG_Metrics!N70=60,0,($E70/STIG_Metrics!N70)/24))</f>
        <v/>
      </c>
      <c r="AD70" s="146" t="str">
        <f>IF($E70=0,"",IF(STIG_Metrics!O70=60,0,($E70/STIG_Metrics!O70)/24))</f>
        <v/>
      </c>
      <c r="AE70" s="146" t="str">
        <f>IF($E70=0,"",IF(STIG_Metrics!P70=60,0,($E70/STIG_Metrics!P70)/24))</f>
        <v/>
      </c>
      <c r="AF70" s="146" t="str">
        <f>IF($E70=0,"",IF(STIG_Metrics!Q70=60,0,($E70/STIG_Metrics!Q70)/24))</f>
        <v/>
      </c>
      <c r="AG70" s="146" t="str">
        <f t="shared" si="25"/>
        <v/>
      </c>
      <c r="AH70" s="146" t="str">
        <f t="shared" si="26"/>
        <v/>
      </c>
      <c r="AI70" s="147" t="str">
        <f>IF($E70=0,"",$E70/STIG_Metrics!N70)</f>
        <v/>
      </c>
      <c r="AJ70" s="147" t="str">
        <f>IF($E70=0,"",$E70/STIG_Metrics!O70)</f>
        <v/>
      </c>
      <c r="AK70" s="147" t="str">
        <f>IF($E70=0,"",$E70/STIG_Metrics!P70)</f>
        <v/>
      </c>
      <c r="AL70" s="147" t="str">
        <f>IF($E70=0,"",$E70/STIG_Metrics!Q70)</f>
        <v/>
      </c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89"/>
      <c r="AY70" s="239"/>
      <c r="AZ70" s="110"/>
    </row>
    <row r="71" spans="2:52" ht="39.950000000000003" customHeight="1">
      <c r="B71" s="110"/>
      <c r="C71" s="89"/>
      <c r="D71" s="277" t="str">
        <f>(STIG_Metrics!A71)</f>
        <v>Microsoft Outlook 2016</v>
      </c>
      <c r="E71" s="218">
        <v>3</v>
      </c>
      <c r="F71" s="121"/>
      <c r="G71" s="118">
        <f t="shared" si="18"/>
        <v>56.7</v>
      </c>
      <c r="H71" s="122">
        <f t="shared" si="10"/>
        <v>7144.2000000000007</v>
      </c>
      <c r="I71" s="123">
        <f t="shared" si="19"/>
        <v>56.7</v>
      </c>
      <c r="J71" s="182">
        <f t="shared" si="11"/>
        <v>7144.2000000000007</v>
      </c>
      <c r="K71" s="187">
        <f>IF($E71=0,"",(STIG_Metrics!E71)*$E71)</f>
        <v>189</v>
      </c>
      <c r="L71" s="31">
        <f>IF($E71=0,"",(STIG_Metrics!F71)*$E71)</f>
        <v>0</v>
      </c>
      <c r="M71" s="47">
        <f>IF($E71=0,"",(STIG_Metrics!G71)*$E71)</f>
        <v>0</v>
      </c>
      <c r="N71" s="31">
        <f>IF($E71=0,"",(STIG_Metrics!H71)*$E71)</f>
        <v>189</v>
      </c>
      <c r="O71" s="31">
        <f>IF($E71=0,"",(STIG_Metrics!E71-STIG_Metrics!F71)*$E71)</f>
        <v>189</v>
      </c>
      <c r="P71" s="47">
        <f>IF($E71=0,"",(STIG_Metrics!E71-STIG_Metrics!G71)*$E71)</f>
        <v>189</v>
      </c>
      <c r="Q71" s="114">
        <f>IF($E71=0,"",(STIG_Metrics!E71-STIG_Metrics!H71)*$E71)</f>
        <v>0</v>
      </c>
      <c r="R71" s="115" t="str">
        <f t="shared" si="20"/>
        <v>1 Days 6 Hrs</v>
      </c>
      <c r="S71" s="32" t="str">
        <f t="shared" si="21"/>
        <v>1 Days 6 Hrs</v>
      </c>
      <c r="T71" s="48" t="str">
        <f t="shared" si="22"/>
        <v>1 Days 6 Hrs</v>
      </c>
      <c r="U71" s="237" t="str">
        <f t="shared" si="23"/>
        <v>0 Days 0 Hrs</v>
      </c>
      <c r="V71" s="125">
        <f>IF($E71=0,"",STIG_Metrics!R71)</f>
        <v>0</v>
      </c>
      <c r="W71" s="49">
        <f>IF($E71=0,"",STIG_Metrics!S71)</f>
        <v>0</v>
      </c>
      <c r="X71" s="33">
        <f>IF($E71=0,"",STIG_Metrics!T71)</f>
        <v>282.50000000000006</v>
      </c>
      <c r="Y71" s="34">
        <f t="shared" si="24"/>
        <v>1786.0500000000002</v>
      </c>
      <c r="Z71" s="34">
        <f t="shared" si="27"/>
        <v>1786.0500000000002</v>
      </c>
      <c r="AA71" s="50">
        <f t="shared" si="13"/>
        <v>1786.0500000000002</v>
      </c>
      <c r="AB71" s="34">
        <f t="shared" si="28"/>
        <v>0</v>
      </c>
      <c r="AC71" s="207">
        <f>IF($E71=0,"",IF(STIG_Metrics!N71=60,0,($E71/STIG_Metrics!N71)/24))</f>
        <v>0.59062500000000007</v>
      </c>
      <c r="AD71" s="146">
        <f>IF($E71=0,"",IF(STIG_Metrics!O71=60,0,($E71/STIG_Metrics!O71)/24))</f>
        <v>0.59062500000000007</v>
      </c>
      <c r="AE71" s="146">
        <f>IF($E71=0,"",IF(STIG_Metrics!P71=60,0,($E71/STIG_Metrics!P71)/24))</f>
        <v>0.59062500000000007</v>
      </c>
      <c r="AF71" s="146">
        <f>IF($E71=0,"",IF(STIG_Metrics!Q71=60,0,($E71/STIG_Metrics!Q71)/24))</f>
        <v>0</v>
      </c>
      <c r="AG71" s="146">
        <f t="shared" si="25"/>
        <v>0.59062500000000007</v>
      </c>
      <c r="AH71" s="146">
        <f t="shared" si="26"/>
        <v>0.59062500000000007</v>
      </c>
      <c r="AI71" s="147">
        <f>IF($E71=0,"",$E71/STIG_Metrics!N71)</f>
        <v>14.175000000000001</v>
      </c>
      <c r="AJ71" s="147">
        <f>IF($E71=0,"",$E71/STIG_Metrics!O71)</f>
        <v>14.175000000000001</v>
      </c>
      <c r="AK71" s="147">
        <f>IF($E71=0,"",$E71/STIG_Metrics!P71)</f>
        <v>14.175000000000001</v>
      </c>
      <c r="AL71" s="147">
        <f>IF($E71=0,"",$E71/STIG_Metrics!Q71)</f>
        <v>0.05</v>
      </c>
      <c r="AM71" s="92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89"/>
      <c r="AY71" s="239"/>
      <c r="AZ71" s="110"/>
    </row>
    <row r="72" spans="2:52" ht="39.950000000000003" customHeight="1">
      <c r="B72" s="110"/>
      <c r="C72" s="89"/>
      <c r="D72" s="277" t="str">
        <f>(STIG_Metrics!A72)</f>
        <v>Microsoft PowerPoint 2013</v>
      </c>
      <c r="E72" s="218">
        <v>0</v>
      </c>
      <c r="F72" s="121"/>
      <c r="G72" s="118" t="str">
        <f t="shared" si="18"/>
        <v/>
      </c>
      <c r="H72" s="122" t="str">
        <f t="shared" si="10"/>
        <v/>
      </c>
      <c r="I72" s="123" t="str">
        <f t="shared" si="19"/>
        <v/>
      </c>
      <c r="J72" s="182" t="str">
        <f t="shared" si="11"/>
        <v/>
      </c>
      <c r="K72" s="187" t="str">
        <f>IF($E72=0,"",(STIG_Metrics!E72)*$E72)</f>
        <v/>
      </c>
      <c r="L72" s="31" t="str">
        <f>IF($E72=0,"",(STIG_Metrics!F72)*$E72)</f>
        <v/>
      </c>
      <c r="M72" s="47" t="str">
        <f>IF($E72=0,"",(STIG_Metrics!G72)*$E72)</f>
        <v/>
      </c>
      <c r="N72" s="31" t="str">
        <f>IF($E72=0,"",(STIG_Metrics!H72)*$E72)</f>
        <v/>
      </c>
      <c r="O72" s="31" t="str">
        <f>IF($E72=0,"",(STIG_Metrics!E72-STIG_Metrics!F72)*$E72)</f>
        <v/>
      </c>
      <c r="P72" s="47" t="str">
        <f>IF($E72=0,"",(STIG_Metrics!E72-STIG_Metrics!G72)*$E72)</f>
        <v/>
      </c>
      <c r="Q72" s="114" t="str">
        <f>IF($E72=0,"",(STIG_Metrics!E72-STIG_Metrics!H72)*$E72)</f>
        <v/>
      </c>
      <c r="R72" s="115" t="str">
        <f t="shared" si="20"/>
        <v/>
      </c>
      <c r="S72" s="32" t="str">
        <f t="shared" si="21"/>
        <v/>
      </c>
      <c r="T72" s="48" t="str">
        <f t="shared" si="22"/>
        <v/>
      </c>
      <c r="U72" s="237" t="str">
        <f t="shared" si="23"/>
        <v/>
      </c>
      <c r="V72" s="125" t="str">
        <f>IF($E72=0,"",STIG_Metrics!R72)</f>
        <v/>
      </c>
      <c r="W72" s="49" t="str">
        <f>IF($E72=0,"",STIG_Metrics!S72)</f>
        <v/>
      </c>
      <c r="X72" s="33" t="str">
        <f>IF($E72=0,"",STIG_Metrics!T72)</f>
        <v/>
      </c>
      <c r="Y72" s="34" t="str">
        <f t="shared" si="24"/>
        <v/>
      </c>
      <c r="Z72" s="34" t="str">
        <f t="shared" si="27"/>
        <v/>
      </c>
      <c r="AA72" s="50" t="str">
        <f t="shared" si="13"/>
        <v/>
      </c>
      <c r="AB72" s="34" t="str">
        <f t="shared" si="28"/>
        <v/>
      </c>
      <c r="AC72" s="207" t="str">
        <f>IF($E72=0,"",IF(STIG_Metrics!N72=60,0,($E72/STIG_Metrics!N72)/24))</f>
        <v/>
      </c>
      <c r="AD72" s="146" t="str">
        <f>IF($E72=0,"",IF(STIG_Metrics!O72=60,0,($E72/STIG_Metrics!O72)/24))</f>
        <v/>
      </c>
      <c r="AE72" s="146" t="str">
        <f>IF($E72=0,"",IF(STIG_Metrics!P72=60,0,($E72/STIG_Metrics!P72)/24))</f>
        <v/>
      </c>
      <c r="AF72" s="146" t="str">
        <f>IF($E72=0,"",IF(STIG_Metrics!Q72=60,0,($E72/STIG_Metrics!Q72)/24))</f>
        <v/>
      </c>
      <c r="AG72" s="146" t="str">
        <f t="shared" si="25"/>
        <v/>
      </c>
      <c r="AH72" s="146" t="str">
        <f t="shared" si="26"/>
        <v/>
      </c>
      <c r="AI72" s="147" t="str">
        <f>IF($E72=0,"",$E72/STIG_Metrics!N72)</f>
        <v/>
      </c>
      <c r="AJ72" s="147" t="str">
        <f>IF($E72=0,"",$E72/STIG_Metrics!O72)</f>
        <v/>
      </c>
      <c r="AK72" s="147" t="str">
        <f>IF($E72=0,"",$E72/STIG_Metrics!P72)</f>
        <v/>
      </c>
      <c r="AL72" s="147" t="str">
        <f>IF($E72=0,"",$E72/STIG_Metrics!Q72)</f>
        <v/>
      </c>
      <c r="AM72" s="92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89"/>
      <c r="AY72" s="239"/>
      <c r="AZ72" s="110"/>
    </row>
    <row r="73" spans="2:52" ht="39.950000000000003" customHeight="1">
      <c r="B73" s="110"/>
      <c r="C73" s="89"/>
      <c r="D73" s="277" t="str">
        <f>(STIG_Metrics!A73)</f>
        <v>Microsoft PowerPoint 2016</v>
      </c>
      <c r="E73" s="218">
        <v>4</v>
      </c>
      <c r="F73" s="121"/>
      <c r="G73" s="265">
        <f>IF(E73=0,"",(AG73*24)*4)</f>
        <v>44.4</v>
      </c>
      <c r="H73" s="266">
        <f>IF(E73=0,"",PRODUCT($G73,$E$7))</f>
        <v>5594.4</v>
      </c>
      <c r="I73" s="267">
        <f>IF(E73=0,"",(AH73*24)*4)</f>
        <v>44.4</v>
      </c>
      <c r="J73" s="268">
        <f>IF(E73=0,"",PRODUCT($I73,$E$7))</f>
        <v>5594.4</v>
      </c>
      <c r="K73" s="187">
        <f>IF($E73=0,"",(STIG_Metrics!E73)*$E73)</f>
        <v>148</v>
      </c>
      <c r="L73" s="31">
        <f>IF($E73=0,"",(STIG_Metrics!F73)*$E73)</f>
        <v>0</v>
      </c>
      <c r="M73" s="47">
        <f>IF($E73=0,"",(STIG_Metrics!G73)*$E73)</f>
        <v>0</v>
      </c>
      <c r="N73" s="31">
        <f>IF($E73=0,"",(STIG_Metrics!H73)*$E73)</f>
        <v>148</v>
      </c>
      <c r="O73" s="31">
        <f>IF($E73=0,"",(STIG_Metrics!E73-STIG_Metrics!F73)*$E73)</f>
        <v>148</v>
      </c>
      <c r="P73" s="31">
        <f>IF($E73=0,"",(STIG_Metrics!E73-STIG_Metrics!G73)*$E73)</f>
        <v>148</v>
      </c>
      <c r="Q73" s="114">
        <f>IF($E73=0,"",(STIG_Metrics!E73-STIG_Metrics!H73)*$E73)</f>
        <v>0</v>
      </c>
      <c r="R73" s="115" t="str">
        <f>IF($E73=0,"",FLOOR($AC73*3,1)&amp;" Days"&amp;TEXT(SUM($AC73-TIME(8,0,0)*FLOOR($AC73*3,1))," h")&amp;" Hrs")</f>
        <v>1 Days 3 Hrs</v>
      </c>
      <c r="S73" s="32" t="str">
        <f>IF($E73=0,"",FLOOR($AD73*3,1)&amp;" Days"&amp;TEXT(SUM($AD73-TIME(8,0,0)*FLOOR($AD73*3,1))," h")&amp;" Hrs")</f>
        <v>1 Days 3 Hrs</v>
      </c>
      <c r="T73" s="32" t="str">
        <f>IF($E73=0,"",FLOOR($AE73*3,1)&amp;" Days"&amp;TEXT(SUM($AE73-TIME(8,0,0)*FLOOR($AE73*3,1))," h")&amp;" Hrs")</f>
        <v>1 Days 3 Hrs</v>
      </c>
      <c r="U73" s="237" t="str">
        <f>IF($E73=0,"",FLOOR($AF73*3,1)&amp; " Days"&amp;TEXT(SUM($AF73-TIME(8,0,0)*FLOOR($AF73*3,1))," h") &amp; " Hrs")</f>
        <v>0 Days 0 Hrs</v>
      </c>
      <c r="V73" s="269">
        <f>IF($E73=0,"",STIG_Metrics!R73)</f>
        <v>0</v>
      </c>
      <c r="W73" s="33">
        <f>IF($E73=0,"",STIG_Metrics!S73)</f>
        <v>0</v>
      </c>
      <c r="X73" s="33">
        <f>IF($E73=0,"",STIG_Metrics!T73)</f>
        <v>165.5</v>
      </c>
      <c r="Y73" s="34">
        <f>IF($E73=0,"",((K73*$E$8/60)*$E$7))</f>
        <v>1398.6</v>
      </c>
      <c r="Z73" s="34">
        <f>IF($E73=0,"",((O73*$E$8/60)*$E$7))</f>
        <v>1398.6</v>
      </c>
      <c r="AA73" s="34">
        <f>IF($E73=0,"",((P73*$E$8/60)*$E$7))</f>
        <v>1398.6</v>
      </c>
      <c r="AB73" s="34">
        <f>IF($E73=0,"",((Q73*$E$8/60)*$E$7))</f>
        <v>0</v>
      </c>
      <c r="AC73" s="148">
        <f>IF($E73=0,"",IF(STIG_Metrics!N73=60,0,($E73/STIG_Metrics!N73)/24))</f>
        <v>0.46249999999999997</v>
      </c>
      <c r="AD73" s="148">
        <f>IF($E73=0,"",IF(STIG_Metrics!O73=60,0,($E73/STIG_Metrics!O73)/24))</f>
        <v>0.46249999999999997</v>
      </c>
      <c r="AE73" s="148">
        <f>IF($E73=0,"",IF(STIG_Metrics!P73=60,0,($E73/STIG_Metrics!P73)/24))</f>
        <v>0.46249999999999997</v>
      </c>
      <c r="AF73" s="148">
        <f>IF($E73=0,"",IF(STIG_Metrics!Q73=60,0,($E73/STIG_Metrics!Q73)/24))</f>
        <v>0</v>
      </c>
      <c r="AG73" s="148">
        <f>IF($E73=0,"",$AD73-$AF73)</f>
        <v>0.46249999999999997</v>
      </c>
      <c r="AH73" s="148">
        <f>IF($E73=0,"",$AE73-$AF73)</f>
        <v>0.46249999999999997</v>
      </c>
      <c r="AI73" s="149">
        <f>IF($E73=0,"",$E73/STIG_Metrics!N73)</f>
        <v>11.1</v>
      </c>
      <c r="AJ73" s="149">
        <f>IF($E73=0,"",$E73/STIG_Metrics!O73)</f>
        <v>11.1</v>
      </c>
      <c r="AK73" s="149">
        <f>IF($E73=0,"",$E73/STIG_Metrics!P73)</f>
        <v>11.1</v>
      </c>
      <c r="AL73" s="149">
        <f>IF($E73=0,"",$E73/STIG_Metrics!Q73)</f>
        <v>6.6666666666666666E-2</v>
      </c>
      <c r="AM73" s="92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89"/>
      <c r="AY73" s="239"/>
      <c r="AZ73" s="110"/>
    </row>
    <row r="74" spans="2:52" ht="39.950000000000003" customHeight="1">
      <c r="B74" s="110"/>
      <c r="C74" s="90"/>
      <c r="D74" s="277" t="str">
        <f>(STIG_Metrics!A74)</f>
        <v>Microsoft Project 2013</v>
      </c>
      <c r="E74" s="218">
        <v>0</v>
      </c>
      <c r="F74" s="121"/>
      <c r="G74" s="118" t="str">
        <f t="shared" si="18"/>
        <v/>
      </c>
      <c r="H74" s="122" t="str">
        <f t="shared" si="10"/>
        <v/>
      </c>
      <c r="I74" s="123" t="str">
        <f t="shared" si="19"/>
        <v/>
      </c>
      <c r="J74" s="182" t="str">
        <f t="shared" si="11"/>
        <v/>
      </c>
      <c r="K74" s="187" t="str">
        <f>IF($E74=0,"",(STIG_Metrics!E74)*$E74)</f>
        <v/>
      </c>
      <c r="L74" s="31" t="str">
        <f>IF($E74=0,"",(STIG_Metrics!F74)*$E74)</f>
        <v/>
      </c>
      <c r="M74" s="47" t="str">
        <f>IF($E74=0,"",(STIG_Metrics!G74)*$E74)</f>
        <v/>
      </c>
      <c r="N74" s="31" t="str">
        <f>IF($E74=0,"",(STIG_Metrics!H74)*$E74)</f>
        <v/>
      </c>
      <c r="O74" s="31" t="str">
        <f>IF($E74=0,"",(STIG_Metrics!E74-STIG_Metrics!F74)*$E74)</f>
        <v/>
      </c>
      <c r="P74" s="47" t="str">
        <f>IF($E74=0,"",(STIG_Metrics!E74-STIG_Metrics!G74)*$E74)</f>
        <v/>
      </c>
      <c r="Q74" s="114" t="str">
        <f>IF($E74=0,"",(STIG_Metrics!E74-STIG_Metrics!H74)*$E74)</f>
        <v/>
      </c>
      <c r="R74" s="115" t="str">
        <f t="shared" si="20"/>
        <v/>
      </c>
      <c r="S74" s="32" t="str">
        <f t="shared" si="21"/>
        <v/>
      </c>
      <c r="T74" s="48" t="str">
        <f t="shared" si="22"/>
        <v/>
      </c>
      <c r="U74" s="237" t="str">
        <f t="shared" si="23"/>
        <v/>
      </c>
      <c r="V74" s="125" t="str">
        <f>IF($E74=0,"",STIG_Metrics!R74)</f>
        <v/>
      </c>
      <c r="W74" s="49" t="str">
        <f>IF($E74=0,"",STIG_Metrics!S74)</f>
        <v/>
      </c>
      <c r="X74" s="33" t="str">
        <f>IF($E74=0,"",STIG_Metrics!T74)</f>
        <v/>
      </c>
      <c r="Y74" s="34" t="str">
        <f t="shared" si="24"/>
        <v/>
      </c>
      <c r="Z74" s="34" t="str">
        <f t="shared" si="27"/>
        <v/>
      </c>
      <c r="AA74" s="50" t="str">
        <f t="shared" si="13"/>
        <v/>
      </c>
      <c r="AB74" s="34" t="str">
        <f t="shared" si="28"/>
        <v/>
      </c>
      <c r="AC74" s="207" t="str">
        <f>IF($E74=0,"",IF(STIG_Metrics!N74=60,0,($E74/STIG_Metrics!N74)/24))</f>
        <v/>
      </c>
      <c r="AD74" s="146" t="str">
        <f>IF($E74=0,"",IF(STIG_Metrics!O74=60,0,($E74/STIG_Metrics!O74)/24))</f>
        <v/>
      </c>
      <c r="AE74" s="146" t="str">
        <f>IF($E74=0,"",IF(STIG_Metrics!P74=60,0,($E74/STIG_Metrics!P74)/24))</f>
        <v/>
      </c>
      <c r="AF74" s="146" t="str">
        <f>IF($E74=0,"",IF(STIG_Metrics!Q74=60,0,($E74/STIG_Metrics!Q74)/24))</f>
        <v/>
      </c>
      <c r="AG74" s="146" t="str">
        <f t="shared" si="25"/>
        <v/>
      </c>
      <c r="AH74" s="146" t="str">
        <f t="shared" si="26"/>
        <v/>
      </c>
      <c r="AI74" s="147" t="str">
        <f>IF($E74=0,"",$E74/STIG_Metrics!N74)</f>
        <v/>
      </c>
      <c r="AJ74" s="147" t="str">
        <f>IF($E74=0,"",$E74/STIG_Metrics!O74)</f>
        <v/>
      </c>
      <c r="AK74" s="147" t="str">
        <f>IF($E74=0,"",$E74/STIG_Metrics!P74)</f>
        <v/>
      </c>
      <c r="AL74" s="147" t="str">
        <f>IF($E74=0,"",$E74/STIG_Metrics!Q74)</f>
        <v/>
      </c>
      <c r="AM74" s="92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89"/>
      <c r="AY74" s="239"/>
      <c r="AZ74" s="110"/>
    </row>
    <row r="75" spans="2:52" ht="39.950000000000003" customHeight="1">
      <c r="B75" s="110"/>
      <c r="C75" s="90"/>
      <c r="D75" s="277" t="str">
        <f>(STIG_Metrics!A75)</f>
        <v>Microsoft Project 2016</v>
      </c>
      <c r="E75" s="218">
        <v>1</v>
      </c>
      <c r="F75" s="121"/>
      <c r="G75" s="118">
        <f t="shared" si="18"/>
        <v>4.2</v>
      </c>
      <c r="H75" s="122">
        <f t="shared" si="10"/>
        <v>529.20000000000005</v>
      </c>
      <c r="I75" s="123">
        <f t="shared" si="19"/>
        <v>4.2</v>
      </c>
      <c r="J75" s="182">
        <f t="shared" si="11"/>
        <v>529.20000000000005</v>
      </c>
      <c r="K75" s="187">
        <f>IF($E75=0,"",(STIG_Metrics!E75)*$E75)</f>
        <v>14</v>
      </c>
      <c r="L75" s="31">
        <f>IF($E75=0,"",(STIG_Metrics!F75)*$E75)</f>
        <v>0</v>
      </c>
      <c r="M75" s="47">
        <f>IF($E75=0,"",(STIG_Metrics!G75)*$E75)</f>
        <v>0</v>
      </c>
      <c r="N75" s="31">
        <f>IF($E75=0,"",(STIG_Metrics!H75)*$E75)</f>
        <v>14</v>
      </c>
      <c r="O75" s="31">
        <f>IF($E75=0,"",(STIG_Metrics!E75-STIG_Metrics!F75)*$E75)</f>
        <v>14</v>
      </c>
      <c r="P75" s="47">
        <f>IF($E75=0,"",(STIG_Metrics!E75-STIG_Metrics!G75)*$E75)</f>
        <v>14</v>
      </c>
      <c r="Q75" s="114">
        <f>IF($E75=0,"",(STIG_Metrics!E75-STIG_Metrics!H75)*$E75)</f>
        <v>0</v>
      </c>
      <c r="R75" s="115" t="str">
        <f t="shared" si="20"/>
        <v>0 Days 1 Hrs</v>
      </c>
      <c r="S75" s="32" t="str">
        <f t="shared" si="21"/>
        <v>0 Days 1 Hrs</v>
      </c>
      <c r="T75" s="48" t="str">
        <f t="shared" si="22"/>
        <v>0 Days 1 Hrs</v>
      </c>
      <c r="U75" s="237" t="str">
        <f t="shared" si="23"/>
        <v>0 Days 0 Hrs</v>
      </c>
      <c r="V75" s="125">
        <f>IF($E75=0,"",STIG_Metrics!R75)</f>
        <v>0</v>
      </c>
      <c r="W75" s="49">
        <f>IF($E75=0,"",STIG_Metrics!S75)</f>
        <v>0</v>
      </c>
      <c r="X75" s="33">
        <f>IF($E75=0,"",STIG_Metrics!T75)</f>
        <v>62.000000000000007</v>
      </c>
      <c r="Y75" s="34">
        <f t="shared" si="24"/>
        <v>132.30000000000001</v>
      </c>
      <c r="Z75" s="34">
        <f t="shared" si="27"/>
        <v>132.30000000000001</v>
      </c>
      <c r="AA75" s="50">
        <f t="shared" si="13"/>
        <v>132.30000000000001</v>
      </c>
      <c r="AB75" s="34">
        <f t="shared" si="28"/>
        <v>0</v>
      </c>
      <c r="AC75" s="207">
        <f>IF($E75=0,"",IF(STIG_Metrics!N75=60,0,($E75/STIG_Metrics!N75)/24))</f>
        <v>4.3750000000000004E-2</v>
      </c>
      <c r="AD75" s="146">
        <f>IF($E75=0,"",IF(STIG_Metrics!O75=60,0,($E75/STIG_Metrics!O75)/24))</f>
        <v>4.3750000000000004E-2</v>
      </c>
      <c r="AE75" s="146">
        <f>IF($E75=0,"",IF(STIG_Metrics!P75=60,0,($E75/STIG_Metrics!P75)/24))</f>
        <v>4.3750000000000004E-2</v>
      </c>
      <c r="AF75" s="146">
        <f>IF($E75=0,"",IF(STIG_Metrics!Q75=60,0,($E75/STIG_Metrics!Q75)/24))</f>
        <v>0</v>
      </c>
      <c r="AG75" s="146">
        <f t="shared" si="25"/>
        <v>4.3750000000000004E-2</v>
      </c>
      <c r="AH75" s="146">
        <f t="shared" si="26"/>
        <v>4.3750000000000004E-2</v>
      </c>
      <c r="AI75" s="147">
        <f>IF($E75=0,"",$E75/STIG_Metrics!N75)</f>
        <v>1.05</v>
      </c>
      <c r="AJ75" s="147">
        <f>IF($E75=0,"",$E75/STIG_Metrics!O75)</f>
        <v>1.05</v>
      </c>
      <c r="AK75" s="147">
        <f>IF($E75=0,"",$E75/STIG_Metrics!P75)</f>
        <v>1.05</v>
      </c>
      <c r="AL75" s="147">
        <f>IF($E75=0,"",$E75/STIG_Metrics!Q75)</f>
        <v>1.6666666666666666E-2</v>
      </c>
      <c r="AM75" s="92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89"/>
      <c r="AY75" s="239"/>
      <c r="AZ75" s="110"/>
    </row>
    <row r="76" spans="2:52" ht="39.950000000000003" customHeight="1">
      <c r="B76" s="110"/>
      <c r="C76" s="90"/>
      <c r="D76" s="277" t="str">
        <f>(STIG_Metrics!A76)</f>
        <v>Microsoft Publisher 2013</v>
      </c>
      <c r="E76" s="218">
        <v>0</v>
      </c>
      <c r="F76" s="121"/>
      <c r="G76" s="118" t="str">
        <f t="shared" si="18"/>
        <v/>
      </c>
      <c r="H76" s="122" t="str">
        <f t="shared" si="10"/>
        <v/>
      </c>
      <c r="I76" s="123" t="str">
        <f t="shared" si="19"/>
        <v/>
      </c>
      <c r="J76" s="182" t="str">
        <f t="shared" si="11"/>
        <v/>
      </c>
      <c r="K76" s="187" t="str">
        <f>IF($E76=0,"",(STIG_Metrics!E76)*$E76)</f>
        <v/>
      </c>
      <c r="L76" s="31" t="str">
        <f>IF($E76=0,"",(STIG_Metrics!F76)*$E76)</f>
        <v/>
      </c>
      <c r="M76" s="47" t="str">
        <f>IF($E76=0,"",(STIG_Metrics!G76)*$E76)</f>
        <v/>
      </c>
      <c r="N76" s="31" t="str">
        <f>IF($E76=0,"",(STIG_Metrics!H76)*$E76)</f>
        <v/>
      </c>
      <c r="O76" s="31" t="str">
        <f>IF($E76=0,"",(STIG_Metrics!E76-STIG_Metrics!F76)*$E76)</f>
        <v/>
      </c>
      <c r="P76" s="47" t="str">
        <f>IF($E76=0,"",(STIG_Metrics!E76-STIG_Metrics!G76)*$E76)</f>
        <v/>
      </c>
      <c r="Q76" s="114" t="str">
        <f>IF($E76=0,"",(STIG_Metrics!E76-STIG_Metrics!H76)*$E76)</f>
        <v/>
      </c>
      <c r="R76" s="115" t="str">
        <f t="shared" si="20"/>
        <v/>
      </c>
      <c r="S76" s="32" t="str">
        <f t="shared" si="21"/>
        <v/>
      </c>
      <c r="T76" s="48" t="str">
        <f t="shared" si="22"/>
        <v/>
      </c>
      <c r="U76" s="237" t="str">
        <f t="shared" si="23"/>
        <v/>
      </c>
      <c r="V76" s="125" t="str">
        <f>IF($E76=0,"",STIG_Metrics!R76)</f>
        <v/>
      </c>
      <c r="W76" s="49" t="str">
        <f>IF($E76=0,"",STIG_Metrics!S76)</f>
        <v/>
      </c>
      <c r="X76" s="33" t="str">
        <f>IF($E76=0,"",STIG_Metrics!T76)</f>
        <v/>
      </c>
      <c r="Y76" s="34" t="str">
        <f t="shared" si="24"/>
        <v/>
      </c>
      <c r="Z76" s="34" t="str">
        <f t="shared" si="27"/>
        <v/>
      </c>
      <c r="AA76" s="50" t="str">
        <f t="shared" si="13"/>
        <v/>
      </c>
      <c r="AB76" s="34" t="str">
        <f t="shared" si="28"/>
        <v/>
      </c>
      <c r="AC76" s="207" t="str">
        <f>IF($E76=0,"",IF(STIG_Metrics!N76=60,0,($E76/STIG_Metrics!N76)/24))</f>
        <v/>
      </c>
      <c r="AD76" s="146" t="str">
        <f>IF($E76=0,"",IF(STIG_Metrics!O76=60,0,($E76/STIG_Metrics!O76)/24))</f>
        <v/>
      </c>
      <c r="AE76" s="146" t="str">
        <f>IF($E76=0,"",IF(STIG_Metrics!P76=60,0,($E76/STIG_Metrics!P76)/24))</f>
        <v/>
      </c>
      <c r="AF76" s="146" t="str">
        <f>IF($E76=0,"",IF(STIG_Metrics!Q76=60,0,($E76/STIG_Metrics!Q76)/24))</f>
        <v/>
      </c>
      <c r="AG76" s="146" t="str">
        <f t="shared" si="25"/>
        <v/>
      </c>
      <c r="AH76" s="146" t="str">
        <f t="shared" si="26"/>
        <v/>
      </c>
      <c r="AI76" s="147" t="str">
        <f>IF($E76=0,"",$E76/STIG_Metrics!N76)</f>
        <v/>
      </c>
      <c r="AJ76" s="147" t="str">
        <f>IF($E76=0,"",$E76/STIG_Metrics!O76)</f>
        <v/>
      </c>
      <c r="AK76" s="147" t="str">
        <f>IF($E76=0,"",$E76/STIG_Metrics!P76)</f>
        <v/>
      </c>
      <c r="AL76" s="147" t="str">
        <f>IF($E76=0,"",$E76/STIG_Metrics!Q76)</f>
        <v/>
      </c>
      <c r="AM76" s="92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89"/>
      <c r="AY76" s="239"/>
      <c r="AZ76" s="110"/>
    </row>
    <row r="77" spans="2:52" ht="39.950000000000003" customHeight="1">
      <c r="B77" s="110"/>
      <c r="C77" s="90"/>
      <c r="D77" s="277" t="str">
        <f>(STIG_Metrics!A77)</f>
        <v>Microsoft Publisher 2016</v>
      </c>
      <c r="E77" s="218">
        <v>3</v>
      </c>
      <c r="F77" s="121"/>
      <c r="G77" s="118">
        <f t="shared" si="18"/>
        <v>13.5</v>
      </c>
      <c r="H77" s="122">
        <f t="shared" si="10"/>
        <v>1701</v>
      </c>
      <c r="I77" s="123">
        <f t="shared" si="19"/>
        <v>13.5</v>
      </c>
      <c r="J77" s="182">
        <f t="shared" si="11"/>
        <v>1701</v>
      </c>
      <c r="K77" s="187">
        <f>IF($E77=0,"",(STIG_Metrics!E77)*$E77)</f>
        <v>45</v>
      </c>
      <c r="L77" s="31">
        <f>IF($E77=0,"",(STIG_Metrics!F77)*$E77)</f>
        <v>0</v>
      </c>
      <c r="M77" s="47">
        <f>IF($E77=0,"",(STIG_Metrics!G77)*$E77)</f>
        <v>0</v>
      </c>
      <c r="N77" s="31">
        <f>IF($E77=0,"",(STIG_Metrics!H77)*$E77)</f>
        <v>45</v>
      </c>
      <c r="O77" s="31">
        <f>IF($E77=0,"",(STIG_Metrics!E77-STIG_Metrics!F77)*$E77)</f>
        <v>45</v>
      </c>
      <c r="P77" s="47">
        <f>IF($E77=0,"",(STIG_Metrics!E77-STIG_Metrics!G77)*$E77)</f>
        <v>45</v>
      </c>
      <c r="Q77" s="114">
        <f>IF($E77=0,"",(STIG_Metrics!E77-STIG_Metrics!H77)*$E77)</f>
        <v>0</v>
      </c>
      <c r="R77" s="115" t="str">
        <f t="shared" si="20"/>
        <v>0 Days 3 Hrs</v>
      </c>
      <c r="S77" s="32" t="str">
        <f t="shared" si="21"/>
        <v>0 Days 3 Hrs</v>
      </c>
      <c r="T77" s="48" t="str">
        <f t="shared" si="22"/>
        <v>0 Days 3 Hrs</v>
      </c>
      <c r="U77" s="237" t="str">
        <f t="shared" si="23"/>
        <v>0 Days 0 Hrs</v>
      </c>
      <c r="V77" s="125">
        <f>IF($E77=0,"",STIG_Metrics!R77)</f>
        <v>0</v>
      </c>
      <c r="W77" s="49">
        <f>IF($E77=0,"",STIG_Metrics!S77)</f>
        <v>0</v>
      </c>
      <c r="X77" s="33">
        <f>IF($E77=0,"",STIG_Metrics!T77)</f>
        <v>66.500000000000014</v>
      </c>
      <c r="Y77" s="34">
        <f t="shared" si="24"/>
        <v>425.25</v>
      </c>
      <c r="Z77" s="34">
        <f t="shared" si="27"/>
        <v>425.25</v>
      </c>
      <c r="AA77" s="50">
        <f t="shared" si="13"/>
        <v>425.25</v>
      </c>
      <c r="AB77" s="34">
        <f t="shared" si="28"/>
        <v>0</v>
      </c>
      <c r="AC77" s="207">
        <f>IF($E77=0,"",IF(STIG_Metrics!N77=60,0,($E77/STIG_Metrics!N77)/24))</f>
        <v>0.140625</v>
      </c>
      <c r="AD77" s="146">
        <f>IF($E77=0,"",IF(STIG_Metrics!O77=60,0,($E77/STIG_Metrics!O77)/24))</f>
        <v>0.140625</v>
      </c>
      <c r="AE77" s="146">
        <f>IF($E77=0,"",IF(STIG_Metrics!P77=60,0,($E77/STIG_Metrics!P77)/24))</f>
        <v>0.140625</v>
      </c>
      <c r="AF77" s="146">
        <f>IF($E77=0,"",IF(STIG_Metrics!Q77=60,0,($E77/STIG_Metrics!Q77)/24))</f>
        <v>0</v>
      </c>
      <c r="AG77" s="146">
        <f t="shared" si="25"/>
        <v>0.140625</v>
      </c>
      <c r="AH77" s="146">
        <f t="shared" si="26"/>
        <v>0.140625</v>
      </c>
      <c r="AI77" s="147">
        <f>IF($E77=0,"",$E77/STIG_Metrics!N77)</f>
        <v>3.375</v>
      </c>
      <c r="AJ77" s="147">
        <f>IF($E77=0,"",$E77/STIG_Metrics!O77)</f>
        <v>3.375</v>
      </c>
      <c r="AK77" s="147">
        <f>IF($E77=0,"",$E77/STIG_Metrics!P77)</f>
        <v>3.375</v>
      </c>
      <c r="AL77" s="147">
        <f>IF($E77=0,"",$E77/STIG_Metrics!Q77)</f>
        <v>0.05</v>
      </c>
      <c r="AM77" s="92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89"/>
      <c r="AY77" s="239"/>
      <c r="AZ77" s="110"/>
    </row>
    <row r="78" spans="2:52" ht="39.950000000000003" customHeight="1">
      <c r="B78" s="110"/>
      <c r="C78" s="90"/>
      <c r="D78" s="277" t="str">
        <f>(STIG_Metrics!A78)</f>
        <v>Microsoft SharePoint 2013</v>
      </c>
      <c r="E78" s="218">
        <v>0</v>
      </c>
      <c r="F78" s="121"/>
      <c r="G78" s="118" t="str">
        <f t="shared" si="18"/>
        <v/>
      </c>
      <c r="H78" s="122" t="str">
        <f t="shared" si="10"/>
        <v/>
      </c>
      <c r="I78" s="123" t="str">
        <f t="shared" si="19"/>
        <v/>
      </c>
      <c r="J78" s="182" t="str">
        <f t="shared" si="11"/>
        <v/>
      </c>
      <c r="K78" s="187" t="str">
        <f>IF($E78=0,"",(STIG_Metrics!E78)*$E78)</f>
        <v/>
      </c>
      <c r="L78" s="31" t="str">
        <f>IF($E78=0,"",(STIG_Metrics!F78)*$E78)</f>
        <v/>
      </c>
      <c r="M78" s="47" t="str">
        <f>IF($E78=0,"",(STIG_Metrics!G78)*$E78)</f>
        <v/>
      </c>
      <c r="N78" s="31" t="str">
        <f>IF($E78=0,"",(STIG_Metrics!H78)*$E78)</f>
        <v/>
      </c>
      <c r="O78" s="31" t="str">
        <f>IF($E78=0,"",(STIG_Metrics!E78-STIG_Metrics!F78)*$E78)</f>
        <v/>
      </c>
      <c r="P78" s="47" t="str">
        <f>IF($E78=0,"",(STIG_Metrics!E78-STIG_Metrics!G78)*$E78)</f>
        <v/>
      </c>
      <c r="Q78" s="114" t="str">
        <f>IF($E78=0,"",(STIG_Metrics!E78-STIG_Metrics!H78)*$E78)</f>
        <v/>
      </c>
      <c r="R78" s="115" t="str">
        <f t="shared" si="20"/>
        <v/>
      </c>
      <c r="S78" s="32" t="str">
        <f t="shared" si="21"/>
        <v/>
      </c>
      <c r="T78" s="48" t="str">
        <f t="shared" si="22"/>
        <v/>
      </c>
      <c r="U78" s="237" t="str">
        <f t="shared" si="23"/>
        <v/>
      </c>
      <c r="V78" s="125" t="str">
        <f>IF($E78=0,"",STIG_Metrics!R78)</f>
        <v/>
      </c>
      <c r="W78" s="49" t="str">
        <f>IF($E78=0,"",STIG_Metrics!S78)</f>
        <v/>
      </c>
      <c r="X78" s="33" t="str">
        <f>IF($E78=0,"",STIG_Metrics!T78)</f>
        <v/>
      </c>
      <c r="Y78" s="34" t="str">
        <f t="shared" si="24"/>
        <v/>
      </c>
      <c r="Z78" s="34" t="str">
        <f t="shared" si="27"/>
        <v/>
      </c>
      <c r="AA78" s="50" t="str">
        <f t="shared" si="13"/>
        <v/>
      </c>
      <c r="AB78" s="34" t="str">
        <f t="shared" si="28"/>
        <v/>
      </c>
      <c r="AC78" s="207" t="str">
        <f>IF($E78=0,"",IF(STIG_Metrics!N78=60,0,($E78/STIG_Metrics!N78)/24))</f>
        <v/>
      </c>
      <c r="AD78" s="146" t="str">
        <f>IF($E78=0,"",IF(STIG_Metrics!O78=60,0,($E78/STIG_Metrics!O78)/24))</f>
        <v/>
      </c>
      <c r="AE78" s="146" t="str">
        <f>IF($E78=0,"",IF(STIG_Metrics!P78=60,0,($E78/STIG_Metrics!P78)/24))</f>
        <v/>
      </c>
      <c r="AF78" s="146" t="str">
        <f>IF($E78=0,"",IF(STIG_Metrics!Q78=60,0,($E78/STIG_Metrics!Q78)/24))</f>
        <v/>
      </c>
      <c r="AG78" s="146" t="str">
        <f t="shared" si="25"/>
        <v/>
      </c>
      <c r="AH78" s="146" t="str">
        <f t="shared" si="26"/>
        <v/>
      </c>
      <c r="AI78" s="147" t="str">
        <f>IF($E78=0,"",$E78/STIG_Metrics!N78)</f>
        <v/>
      </c>
      <c r="AJ78" s="147" t="str">
        <f>IF($E78=0,"",$E78/STIG_Metrics!O78)</f>
        <v/>
      </c>
      <c r="AK78" s="147" t="str">
        <f>IF($E78=0,"",$E78/STIG_Metrics!P78)</f>
        <v/>
      </c>
      <c r="AL78" s="147" t="str">
        <f>IF($E78=0,"",$E78/STIG_Metrics!Q78)</f>
        <v/>
      </c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89"/>
      <c r="AY78" s="239"/>
      <c r="AZ78" s="110"/>
    </row>
    <row r="79" spans="2:52" ht="39.950000000000003" customHeight="1">
      <c r="B79" s="110"/>
      <c r="C79" s="90"/>
      <c r="D79" s="277" t="str">
        <f>(STIG_Metrics!A79)</f>
        <v>Microsoft Skype for Business 2016</v>
      </c>
      <c r="E79" s="218">
        <v>0</v>
      </c>
      <c r="F79" s="121"/>
      <c r="G79" s="118" t="str">
        <f t="shared" si="18"/>
        <v/>
      </c>
      <c r="H79" s="122" t="str">
        <f t="shared" si="10"/>
        <v/>
      </c>
      <c r="I79" s="123" t="str">
        <f t="shared" si="19"/>
        <v/>
      </c>
      <c r="J79" s="182" t="str">
        <f t="shared" si="11"/>
        <v/>
      </c>
      <c r="K79" s="187" t="str">
        <f>IF($E79=0,"",(STIG_Metrics!E79)*$E79)</f>
        <v/>
      </c>
      <c r="L79" s="31" t="str">
        <f>IF($E79=0,"",(STIG_Metrics!F79)*$E79)</f>
        <v/>
      </c>
      <c r="M79" s="47" t="str">
        <f>IF($E79=0,"",(STIG_Metrics!G79)*$E79)</f>
        <v/>
      </c>
      <c r="N79" s="31" t="str">
        <f>IF($E79=0,"",(STIG_Metrics!H79)*$E79)</f>
        <v/>
      </c>
      <c r="O79" s="31" t="str">
        <f>IF($E79=0,"",(STIG_Metrics!E79-STIG_Metrics!F79)*$E79)</f>
        <v/>
      </c>
      <c r="P79" s="47" t="str">
        <f>IF($E79=0,"",(STIG_Metrics!E79-STIG_Metrics!G79)*$E79)</f>
        <v/>
      </c>
      <c r="Q79" s="114" t="str">
        <f>IF($E79=0,"",(STIG_Metrics!E79-STIG_Metrics!H79)*$E79)</f>
        <v/>
      </c>
      <c r="R79" s="115" t="str">
        <f t="shared" si="20"/>
        <v/>
      </c>
      <c r="S79" s="32" t="str">
        <f t="shared" si="21"/>
        <v/>
      </c>
      <c r="T79" s="48" t="str">
        <f t="shared" si="22"/>
        <v/>
      </c>
      <c r="U79" s="237" t="str">
        <f t="shared" si="23"/>
        <v/>
      </c>
      <c r="V79" s="125" t="str">
        <f>IF($E79=0,"",STIG_Metrics!R79)</f>
        <v/>
      </c>
      <c r="W79" s="49" t="str">
        <f>IF($E79=0,"",STIG_Metrics!S79)</f>
        <v/>
      </c>
      <c r="X79" s="33" t="str">
        <f>IF($E79=0,"",STIG_Metrics!T79)</f>
        <v/>
      </c>
      <c r="Y79" s="34" t="str">
        <f t="shared" si="24"/>
        <v/>
      </c>
      <c r="Z79" s="34" t="str">
        <f t="shared" si="27"/>
        <v/>
      </c>
      <c r="AA79" s="50" t="str">
        <f t="shared" si="13"/>
        <v/>
      </c>
      <c r="AB79" s="34" t="str">
        <f t="shared" si="28"/>
        <v/>
      </c>
      <c r="AC79" s="207" t="str">
        <f>IF($E79=0,"",IF(STIG_Metrics!N79=60,0,($E79/STIG_Metrics!N79)/24))</f>
        <v/>
      </c>
      <c r="AD79" s="146" t="str">
        <f>IF($E79=0,"",IF(STIG_Metrics!O79=60,0,($E79/STIG_Metrics!O79)/24))</f>
        <v/>
      </c>
      <c r="AE79" s="146" t="str">
        <f>IF($E79=0,"",IF(STIG_Metrics!P79=60,0,($E79/STIG_Metrics!P79)/24))</f>
        <v/>
      </c>
      <c r="AF79" s="146" t="str">
        <f>IF($E79=0,"",IF(STIG_Metrics!Q79=60,0,($E79/STIG_Metrics!Q79)/24))</f>
        <v/>
      </c>
      <c r="AG79" s="146" t="str">
        <f t="shared" si="25"/>
        <v/>
      </c>
      <c r="AH79" s="146" t="str">
        <f t="shared" si="26"/>
        <v/>
      </c>
      <c r="AI79" s="147" t="str">
        <f>IF($E79=0,"",$E79/STIG_Metrics!N79)</f>
        <v/>
      </c>
      <c r="AJ79" s="147" t="str">
        <f>IF($E79=0,"",$E79/STIG_Metrics!O79)</f>
        <v/>
      </c>
      <c r="AK79" s="147" t="str">
        <f>IF($E79=0,"",$E79/STIG_Metrics!P79)</f>
        <v/>
      </c>
      <c r="AL79" s="147" t="str">
        <f>IF($E79=0,"",$E79/STIG_Metrics!Q79)</f>
        <v/>
      </c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89"/>
      <c r="AY79" s="239"/>
      <c r="AZ79" s="110"/>
    </row>
    <row r="80" spans="2:52" ht="39.950000000000003" customHeight="1">
      <c r="B80" s="110"/>
      <c r="C80" s="90"/>
      <c r="D80" s="277" t="str">
        <f>(STIG_Metrics!A80)</f>
        <v>Microsoft SQL Server 2022 Database</v>
      </c>
      <c r="E80" s="218">
        <v>83</v>
      </c>
      <c r="F80" s="121"/>
      <c r="G80" s="265">
        <f>IF(E80=0,"",(AG80*24)*4)</f>
        <v>398.4</v>
      </c>
      <c r="H80" s="266">
        <f>IF(E80=0,"",PRODUCT($G80,$E$7))</f>
        <v>50198.399999999994</v>
      </c>
      <c r="I80" s="267">
        <f>IF(E80=0,"",(AH80*24)*4)</f>
        <v>373.49999999999989</v>
      </c>
      <c r="J80" s="268">
        <f>IF(E80=0,"",PRODUCT($I80,$E$7))</f>
        <v>47060.999999999985</v>
      </c>
      <c r="K80" s="187">
        <f>IF($E80=0,"",(STIG_Metrics!E80)*$E80)</f>
        <v>1826</v>
      </c>
      <c r="L80" s="31">
        <f>IF($E80=0,"",(STIG_Metrics!F80)*$E80)</f>
        <v>0</v>
      </c>
      <c r="M80" s="47">
        <f>IF($E80=0,"",(STIG_Metrics!G80)*$E80)</f>
        <v>83</v>
      </c>
      <c r="N80" s="31">
        <f>IF($E80=0,"",(STIG_Metrics!H80)*$E80)</f>
        <v>1328</v>
      </c>
      <c r="O80" s="31">
        <f>IF($E80=0,"",(STIG_Metrics!E80-STIG_Metrics!F80)*$E80)</f>
        <v>1826</v>
      </c>
      <c r="P80" s="31">
        <f>IF($E80=0,"",(STIG_Metrics!E80-STIG_Metrics!G80)*$E80)</f>
        <v>1743</v>
      </c>
      <c r="Q80" s="114">
        <f>IF($E80=0,"",(STIG_Metrics!E80-STIG_Metrics!H80)*$E80)</f>
        <v>498</v>
      </c>
      <c r="R80" s="115" t="str">
        <f>IF($E80=0,"",FLOOR($AC80*3,1)&amp;" Days"&amp;TEXT(SUM($AC80-TIME(8,0,0)*FLOOR($AC80*3,1))," h")&amp;" Hrs")</f>
        <v>17 Days 0 Hrs</v>
      </c>
      <c r="S80" s="32" t="str">
        <f>IF($E80=0,"",FLOOR($AD80*3,1)&amp;" Days"&amp;TEXT(SUM($AD80-TIME(8,0,0)*FLOOR($AD80*3,1))," h")&amp;" Hrs")</f>
        <v>17 Days 0 Hrs</v>
      </c>
      <c r="T80" s="32" t="str">
        <f>IF($E80=0,"",FLOOR($AE80*3,1)&amp;" Days"&amp;TEXT(SUM($AE80-TIME(8,0,0)*FLOOR($AE80*3,1))," h")&amp;" Hrs")</f>
        <v>16 Days 2 Hrs</v>
      </c>
      <c r="U80" s="237" t="str">
        <f>IF($E80=0,"",FLOOR($AF80*3,1)&amp; " Days"&amp;TEXT(SUM($AF80-TIME(8,0,0)*FLOOR($AF80*3,1))," h") &amp; " Hrs")</f>
        <v>4 Days 5 Hrs</v>
      </c>
      <c r="V80" s="269">
        <f>IF($E80=0,"",STIG_Metrics!R80)</f>
        <v>0</v>
      </c>
      <c r="W80" s="33">
        <f>IF($E80=0,"",STIG_Metrics!S80)</f>
        <v>4.7619047619047533E-2</v>
      </c>
      <c r="X80" s="33">
        <f>IF($E80=0,"",STIG_Metrics!T80)</f>
        <v>2.666666666666667</v>
      </c>
      <c r="Y80" s="34">
        <f>IF($E80=0,"",((K80*$E$8/60)*$E$7))</f>
        <v>17255.699999999997</v>
      </c>
      <c r="Z80" s="34">
        <f t="shared" ref="Z80:AB81" si="29">IF($E80=0,"",((O80*$E$8/60)*$E$7))</f>
        <v>17255.699999999997</v>
      </c>
      <c r="AA80" s="34">
        <f t="shared" si="29"/>
        <v>16471.349999999999</v>
      </c>
      <c r="AB80" s="34">
        <f t="shared" si="29"/>
        <v>4706.1000000000004</v>
      </c>
      <c r="AC80" s="148">
        <f>IF($E80=0,"",IF(STIG_Metrics!N80=60,0,($E80/STIG_Metrics!N80)/24))</f>
        <v>5.7062499999999998</v>
      </c>
      <c r="AD80" s="148">
        <f>IF($E80=0,"",IF(STIG_Metrics!O80=60,0,($E80/STIG_Metrics!O80)/24))</f>
        <v>5.7062499999999998</v>
      </c>
      <c r="AE80" s="148">
        <f>IF($E80=0,"",IF(STIG_Metrics!P80=60,0,($E80/STIG_Metrics!P80)/24))</f>
        <v>5.4468749999999995</v>
      </c>
      <c r="AF80" s="148">
        <f>IF($E80=0,"",IF(STIG_Metrics!Q80=60,0,($E80/STIG_Metrics!Q80)/24))</f>
        <v>1.5562500000000001</v>
      </c>
      <c r="AG80" s="148">
        <f>IF($E80=0,"",$AD80-$AF80)</f>
        <v>4.1499999999999995</v>
      </c>
      <c r="AH80" s="148">
        <f>IF($E80=0,"",$AE80-$AF80)</f>
        <v>3.8906249999999991</v>
      </c>
      <c r="AI80" s="149">
        <f>IF($E80=0,"",$E80/STIG_Metrics!N80)</f>
        <v>136.94999999999999</v>
      </c>
      <c r="AJ80" s="149">
        <f>IF($E80=0,"",$E80/STIG_Metrics!O80)</f>
        <v>136.94999999999999</v>
      </c>
      <c r="AK80" s="149">
        <f>IF($E80=0,"",$E80/STIG_Metrics!P80)</f>
        <v>130.72499999999999</v>
      </c>
      <c r="AL80" s="149">
        <f>IF($E80=0,"",$E80/STIG_Metrics!Q80)</f>
        <v>37.35</v>
      </c>
      <c r="AM80" s="92"/>
      <c r="AN80" s="92"/>
      <c r="AO80" s="92"/>
      <c r="AP80" s="92"/>
      <c r="AQ80" s="92"/>
      <c r="AR80" s="92"/>
      <c r="AS80" s="90"/>
      <c r="AT80" s="90"/>
      <c r="AU80" s="90"/>
      <c r="AV80" s="90"/>
      <c r="AW80" s="90"/>
      <c r="AX80" s="89"/>
      <c r="AY80" s="239"/>
      <c r="AZ80" s="110"/>
    </row>
    <row r="81" spans="2:52" ht="39.950000000000003" customHeight="1">
      <c r="B81" s="110"/>
      <c r="C81" s="90"/>
      <c r="D81" s="277" t="str">
        <f>(STIG_Metrics!A81)</f>
        <v>Microsoft SQL Server 2022 Instance</v>
      </c>
      <c r="E81" s="218">
        <v>12</v>
      </c>
      <c r="F81" s="121"/>
      <c r="G81" s="265">
        <f>IF(E81=0,"",(AG81*24)*4)</f>
        <v>194.39999999999998</v>
      </c>
      <c r="H81" s="266">
        <f>IF(E81=0,"",PRODUCT($G81,$E$7))</f>
        <v>24494.399999999998</v>
      </c>
      <c r="I81" s="267">
        <f>IF(E81=0,"",(AH81*24)*4)</f>
        <v>64.800000000000011</v>
      </c>
      <c r="J81" s="268">
        <f>IF(E81=0,"",PRODUCT($I81,$E$7))</f>
        <v>8164.8000000000011</v>
      </c>
      <c r="K81" s="187">
        <f>IF($E81=0,"",(STIG_Metrics!E81)*$E81)</f>
        <v>960</v>
      </c>
      <c r="L81" s="31">
        <f>IF($E81=0,"",(STIG_Metrics!F81)*$E81)</f>
        <v>0</v>
      </c>
      <c r="M81" s="47">
        <f>IF($E81=0,"",(STIG_Metrics!G81)*$E81)</f>
        <v>432</v>
      </c>
      <c r="N81" s="31">
        <f>IF($E81=0,"",(STIG_Metrics!H81)*$E81)</f>
        <v>648</v>
      </c>
      <c r="O81" s="31">
        <f>IF($E81=0,"",(STIG_Metrics!E81-STIG_Metrics!F81)*$E81)</f>
        <v>960</v>
      </c>
      <c r="P81" s="31">
        <f>IF($E81=0,"",(STIG_Metrics!E81-STIG_Metrics!G81)*$E81)</f>
        <v>528</v>
      </c>
      <c r="Q81" s="114">
        <f>IF($E81=0,"",(STIG_Metrics!E81-STIG_Metrics!H81)*$E81)</f>
        <v>312</v>
      </c>
      <c r="R81" s="115" t="str">
        <f>IF($E81=0,"",FLOOR($AC81*3,1)&amp;" Days"&amp;TEXT(SUM($AC81-TIME(8,0,0)*FLOOR($AC81*3,1))," h")&amp;" Hrs")</f>
        <v>9 Days 0 Hrs</v>
      </c>
      <c r="S81" s="32" t="str">
        <f>IF($E81=0,"",FLOOR($AD81*3,1)&amp;" Days"&amp;TEXT(SUM($AD81-TIME(8,0,0)*FLOOR($AD81*3,1))," h")&amp;" Hrs")</f>
        <v>9 Days 0 Hrs</v>
      </c>
      <c r="T81" s="32" t="str">
        <f>IF($E81=0,"",FLOOR($AE81*3,1)&amp;" Days"&amp;TEXT(SUM($AE81-TIME(8,0,0)*FLOOR($AE81*3,1))," h")&amp;" Hrs")</f>
        <v>4 Days 7 Hrs</v>
      </c>
      <c r="U81" s="237" t="str">
        <f>IF($E81=0,"",FLOOR($AF81*3,1)&amp; " Days"&amp;TEXT(SUM($AF81-TIME(8,0,0)*FLOOR($AF81*3,1))," h") &amp; " Hrs")</f>
        <v>2 Days 7 Hrs</v>
      </c>
      <c r="V81" s="269">
        <f>IF($E81=0,"",STIG_Metrics!R81)</f>
        <v>0</v>
      </c>
      <c r="W81" s="33">
        <f>IF($E81=0,"",STIG_Metrics!S81)</f>
        <v>0.81818181818181834</v>
      </c>
      <c r="X81" s="33">
        <f>IF($E81=0,"",STIG_Metrics!T81)</f>
        <v>2.0769230769230771</v>
      </c>
      <c r="Y81" s="34">
        <f>IF($E81=0,"",((K81*$E$8/60)*$E$7))</f>
        <v>9072</v>
      </c>
      <c r="Z81" s="34">
        <f t="shared" si="29"/>
        <v>9072</v>
      </c>
      <c r="AA81" s="34">
        <f t="shared" si="29"/>
        <v>4989.6000000000004</v>
      </c>
      <c r="AB81" s="34">
        <f t="shared" si="29"/>
        <v>2948.3999999999996</v>
      </c>
      <c r="AC81" s="148">
        <f>IF($E81=0,"",IF(STIG_Metrics!N81=60,0,($E81/STIG_Metrics!N81)/24))</f>
        <v>3</v>
      </c>
      <c r="AD81" s="148">
        <f>IF($E81=0,"",IF(STIG_Metrics!O81=60,0,($E81/STIG_Metrics!O81)/24))</f>
        <v>3</v>
      </c>
      <c r="AE81" s="148">
        <f>IF($E81=0,"",IF(STIG_Metrics!P81=60,0,($E81/STIG_Metrics!P81)/24))</f>
        <v>1.6500000000000001</v>
      </c>
      <c r="AF81" s="148">
        <f>IF($E81=0,"",IF(STIG_Metrics!Q81=60,0,($E81/STIG_Metrics!Q81)/24))</f>
        <v>0.97500000000000009</v>
      </c>
      <c r="AG81" s="148">
        <f>IF($E81=0,"",$AD81-$AF81)</f>
        <v>2.0249999999999999</v>
      </c>
      <c r="AH81" s="148">
        <f>IF($E81=0,"",$AE81-$AF81)</f>
        <v>0.67500000000000004</v>
      </c>
      <c r="AI81" s="149">
        <f>IF($E81=0,"",$E81/STIG_Metrics!N81)</f>
        <v>72</v>
      </c>
      <c r="AJ81" s="149">
        <f>IF($E81=0,"",$E81/STIG_Metrics!O81)</f>
        <v>72</v>
      </c>
      <c r="AK81" s="149">
        <f>IF($E81=0,"",$E81/STIG_Metrics!P81)</f>
        <v>39.6</v>
      </c>
      <c r="AL81" s="149">
        <f>IF($E81=0,"",$E81/STIG_Metrics!Q81)</f>
        <v>23.400000000000002</v>
      </c>
      <c r="AM81" s="92"/>
      <c r="AN81" s="92"/>
      <c r="AO81" s="92"/>
      <c r="AP81" s="92"/>
      <c r="AQ81" s="92"/>
      <c r="AR81" s="92"/>
      <c r="AS81" s="92"/>
      <c r="AT81" s="90"/>
      <c r="AU81" s="90"/>
      <c r="AV81" s="90"/>
      <c r="AW81" s="90"/>
      <c r="AX81" s="89"/>
      <c r="AY81" s="239"/>
      <c r="AZ81" s="110"/>
    </row>
    <row r="82" spans="2:52" ht="39.950000000000003" customHeight="1">
      <c r="B82" s="110"/>
      <c r="C82" s="90"/>
      <c r="D82" s="277" t="str">
        <f>(STIG_Metrics!A82)</f>
        <v>Microsoft Visio 2013</v>
      </c>
      <c r="E82" s="218">
        <v>0</v>
      </c>
      <c r="F82" s="121"/>
      <c r="G82" s="118" t="str">
        <f t="shared" si="18"/>
        <v/>
      </c>
      <c r="H82" s="122" t="str">
        <f t="shared" si="10"/>
        <v/>
      </c>
      <c r="I82" s="123" t="str">
        <f t="shared" si="19"/>
        <v/>
      </c>
      <c r="J82" s="182" t="str">
        <f t="shared" si="11"/>
        <v/>
      </c>
      <c r="K82" s="187" t="str">
        <f>IF($E82=0,"",(STIG_Metrics!E82)*$E82)</f>
        <v/>
      </c>
      <c r="L82" s="31" t="str">
        <f>IF($E82=0,"",(STIG_Metrics!F82)*$E82)</f>
        <v/>
      </c>
      <c r="M82" s="47" t="str">
        <f>IF($E82=0,"",(STIG_Metrics!G82)*$E82)</f>
        <v/>
      </c>
      <c r="N82" s="31" t="str">
        <f>IF($E82=0,"",(STIG_Metrics!H82)*$E82)</f>
        <v/>
      </c>
      <c r="O82" s="31" t="str">
        <f>IF($E82=0,"",(STIG_Metrics!E82-STIG_Metrics!F82)*$E82)</f>
        <v/>
      </c>
      <c r="P82" s="47" t="str">
        <f>IF($E82=0,"",(STIG_Metrics!E82-STIG_Metrics!G82)*$E82)</f>
        <v/>
      </c>
      <c r="Q82" s="114" t="str">
        <f>IF($E82=0,"",(STIG_Metrics!E82-STIG_Metrics!H82)*$E82)</f>
        <v/>
      </c>
      <c r="R82" s="115" t="str">
        <f t="shared" si="20"/>
        <v/>
      </c>
      <c r="S82" s="32" t="str">
        <f t="shared" si="21"/>
        <v/>
      </c>
      <c r="T82" s="48" t="str">
        <f t="shared" si="22"/>
        <v/>
      </c>
      <c r="U82" s="237" t="str">
        <f t="shared" si="23"/>
        <v/>
      </c>
      <c r="V82" s="125" t="str">
        <f>IF($E82=0,"",STIG_Metrics!R82)</f>
        <v/>
      </c>
      <c r="W82" s="49" t="str">
        <f>IF($E82=0,"",STIG_Metrics!S82)</f>
        <v/>
      </c>
      <c r="X82" s="33" t="str">
        <f>IF($E82=0,"",STIG_Metrics!T82)</f>
        <v/>
      </c>
      <c r="Y82" s="34" t="str">
        <f t="shared" si="24"/>
        <v/>
      </c>
      <c r="Z82" s="34" t="str">
        <f t="shared" si="27"/>
        <v/>
      </c>
      <c r="AA82" s="50" t="str">
        <f t="shared" si="13"/>
        <v/>
      </c>
      <c r="AB82" s="34" t="str">
        <f t="shared" si="28"/>
        <v/>
      </c>
      <c r="AC82" s="207" t="str">
        <f>IF($E82=0,"",IF(STIG_Metrics!N82=60,0,($E82/STIG_Metrics!N82)/24))</f>
        <v/>
      </c>
      <c r="AD82" s="146" t="str">
        <f>IF($E82=0,"",IF(STIG_Metrics!O82=60,0,($E82/STIG_Metrics!O82)/24))</f>
        <v/>
      </c>
      <c r="AE82" s="146" t="str">
        <f>IF($E82=0,"",IF(STIG_Metrics!P82=60,0,($E82/STIG_Metrics!P82)/24))</f>
        <v/>
      </c>
      <c r="AF82" s="146" t="str">
        <f>IF($E82=0,"",IF(STIG_Metrics!Q82=60,0,($E82/STIG_Metrics!Q82)/24))</f>
        <v/>
      </c>
      <c r="AG82" s="146" t="str">
        <f t="shared" si="25"/>
        <v/>
      </c>
      <c r="AH82" s="146" t="str">
        <f t="shared" si="26"/>
        <v/>
      </c>
      <c r="AI82" s="147" t="str">
        <f>IF($E82=0,"",$E82/STIG_Metrics!N82)</f>
        <v/>
      </c>
      <c r="AJ82" s="147" t="str">
        <f>IF($E82=0,"",$E82/STIG_Metrics!O82)</f>
        <v/>
      </c>
      <c r="AK82" s="147" t="str">
        <f>IF($E82=0,"",$E82/STIG_Metrics!P82)</f>
        <v/>
      </c>
      <c r="AL82" s="147" t="str">
        <f>IF($E82=0,"",$E82/STIG_Metrics!Q82)</f>
        <v/>
      </c>
      <c r="AM82" s="92"/>
      <c r="AN82" s="92"/>
      <c r="AO82" s="92"/>
      <c r="AP82" s="92"/>
      <c r="AQ82" s="92"/>
      <c r="AR82" s="92"/>
      <c r="AS82" s="92"/>
      <c r="AT82" s="90"/>
      <c r="AU82" s="90"/>
      <c r="AV82" s="90"/>
      <c r="AW82" s="90"/>
      <c r="AX82" s="89"/>
      <c r="AY82" s="239"/>
      <c r="AZ82" s="110"/>
    </row>
    <row r="83" spans="2:52" ht="39.950000000000003" customHeight="1">
      <c r="B83" s="110"/>
      <c r="C83" s="90"/>
      <c r="D83" s="277" t="str">
        <f>(STIG_Metrics!A83)</f>
        <v>Microsoft Visio 2016</v>
      </c>
      <c r="E83" s="218">
        <v>1</v>
      </c>
      <c r="F83" s="121"/>
      <c r="G83" s="118">
        <f t="shared" si="18"/>
        <v>3.9000000000000004</v>
      </c>
      <c r="H83" s="122">
        <f t="shared" si="10"/>
        <v>491.40000000000003</v>
      </c>
      <c r="I83" s="123">
        <f t="shared" si="19"/>
        <v>3.9000000000000004</v>
      </c>
      <c r="J83" s="182">
        <f t="shared" si="11"/>
        <v>491.40000000000003</v>
      </c>
      <c r="K83" s="187">
        <f>IF($E83=0,"",(STIG_Metrics!E83)*$E83)</f>
        <v>13</v>
      </c>
      <c r="L83" s="31">
        <f>IF($E83=0,"",(STIG_Metrics!F83)*$E83)</f>
        <v>0</v>
      </c>
      <c r="M83" s="47">
        <f>IF($E83=0,"",(STIG_Metrics!G83)*$E83)</f>
        <v>0</v>
      </c>
      <c r="N83" s="31">
        <f>IF($E83=0,"",(STIG_Metrics!H83)*$E83)</f>
        <v>13</v>
      </c>
      <c r="O83" s="31">
        <f>IF($E83=0,"",(STIG_Metrics!E83-STIG_Metrics!F83)*$E83)</f>
        <v>13</v>
      </c>
      <c r="P83" s="47">
        <f>IF($E83=0,"",(STIG_Metrics!E83-STIG_Metrics!G83)*$E83)</f>
        <v>13</v>
      </c>
      <c r="Q83" s="114">
        <f>IF($E83=0,"",(STIG_Metrics!E83-STIG_Metrics!H83)*$E83)</f>
        <v>0</v>
      </c>
      <c r="R83" s="115" t="str">
        <f t="shared" si="20"/>
        <v>0 Days 0 Hrs</v>
      </c>
      <c r="S83" s="32" t="str">
        <f t="shared" si="21"/>
        <v>0 Days 0 Hrs</v>
      </c>
      <c r="T83" s="48" t="str">
        <f t="shared" si="22"/>
        <v>0 Days 0 Hrs</v>
      </c>
      <c r="U83" s="237" t="str">
        <f t="shared" si="23"/>
        <v>0 Days 0 Hrs</v>
      </c>
      <c r="V83" s="125">
        <f>IF($E83=0,"",STIG_Metrics!R83)</f>
        <v>0</v>
      </c>
      <c r="W83" s="49">
        <f>IF($E83=0,"",STIG_Metrics!S83)</f>
        <v>0</v>
      </c>
      <c r="X83" s="33">
        <f>IF($E83=0,"",STIG_Metrics!T83)</f>
        <v>57.500000000000007</v>
      </c>
      <c r="Y83" s="34">
        <f t="shared" si="24"/>
        <v>122.85</v>
      </c>
      <c r="Z83" s="34">
        <f t="shared" si="27"/>
        <v>122.85</v>
      </c>
      <c r="AA83" s="50">
        <f t="shared" si="13"/>
        <v>122.85</v>
      </c>
      <c r="AB83" s="34">
        <f t="shared" si="28"/>
        <v>0</v>
      </c>
      <c r="AC83" s="207">
        <f>IF($E83=0,"",IF(STIG_Metrics!N83=60,0,($E83/STIG_Metrics!N83)/24))</f>
        <v>4.0625000000000001E-2</v>
      </c>
      <c r="AD83" s="146">
        <f>IF($E83=0,"",IF(STIG_Metrics!O83=60,0,($E83/STIG_Metrics!O83)/24))</f>
        <v>4.0625000000000001E-2</v>
      </c>
      <c r="AE83" s="146">
        <f>IF($E83=0,"",IF(STIG_Metrics!P83=60,0,($E83/STIG_Metrics!P83)/24))</f>
        <v>4.0625000000000001E-2</v>
      </c>
      <c r="AF83" s="146">
        <f>IF($E83=0,"",IF(STIG_Metrics!Q83=60,0,($E83/STIG_Metrics!Q83)/24))</f>
        <v>0</v>
      </c>
      <c r="AG83" s="146">
        <f t="shared" si="25"/>
        <v>4.0625000000000001E-2</v>
      </c>
      <c r="AH83" s="146">
        <f t="shared" si="26"/>
        <v>4.0625000000000001E-2</v>
      </c>
      <c r="AI83" s="147">
        <f>IF($E83=0,"",$E83/STIG_Metrics!N83)</f>
        <v>0.97500000000000009</v>
      </c>
      <c r="AJ83" s="147">
        <f>IF($E83=0,"",$E83/STIG_Metrics!O83)</f>
        <v>0.97500000000000009</v>
      </c>
      <c r="AK83" s="147">
        <f>IF($E83=0,"",$E83/STIG_Metrics!P83)</f>
        <v>0.97500000000000009</v>
      </c>
      <c r="AL83" s="147">
        <f>IF($E83=0,"",$E83/STIG_Metrics!Q83)</f>
        <v>1.6666666666666666E-2</v>
      </c>
      <c r="AM83" s="90"/>
      <c r="AN83" s="90"/>
      <c r="AO83" s="90"/>
      <c r="AP83" s="90"/>
      <c r="AQ83" s="90"/>
      <c r="AR83" s="90"/>
      <c r="AS83" s="92"/>
      <c r="AT83" s="90"/>
      <c r="AU83" s="90"/>
      <c r="AV83" s="90"/>
      <c r="AW83" s="90"/>
      <c r="AX83" s="89"/>
      <c r="AY83" s="239"/>
      <c r="AZ83" s="110"/>
    </row>
    <row r="84" spans="2:52" ht="39.950000000000003" customHeight="1">
      <c r="B84" s="110"/>
      <c r="C84" s="90"/>
      <c r="D84" s="277" t="str">
        <f>(STIG_Metrics!A84)</f>
        <v>Microsoft Windows 10</v>
      </c>
      <c r="E84" s="218">
        <v>5</v>
      </c>
      <c r="F84" s="121"/>
      <c r="G84" s="118">
        <f t="shared" si="18"/>
        <v>58.5</v>
      </c>
      <c r="H84" s="122">
        <f t="shared" si="10"/>
        <v>7371</v>
      </c>
      <c r="I84" s="123">
        <f t="shared" si="19"/>
        <v>21</v>
      </c>
      <c r="J84" s="182">
        <f t="shared" si="11"/>
        <v>2646</v>
      </c>
      <c r="K84" s="187">
        <f>IF($E84=0,"",(STIG_Metrics!E84)*$E84)</f>
        <v>1340</v>
      </c>
      <c r="L84" s="31">
        <f>IF($E84=0,"",(STIG_Metrics!F84)*$E84)</f>
        <v>1115</v>
      </c>
      <c r="M84" s="47">
        <f>IF($E84=0,"",(STIG_Metrics!G84)*$E84)</f>
        <v>1240</v>
      </c>
      <c r="N84" s="31">
        <f>IF($E84=0,"",(STIG_Metrics!H84)*$E84)</f>
        <v>1310</v>
      </c>
      <c r="O84" s="31">
        <f>IF($E84=0,"",(STIG_Metrics!E84-STIG_Metrics!F84)*$E84)</f>
        <v>225</v>
      </c>
      <c r="P84" s="47">
        <f>IF($E84=0,"",(STIG_Metrics!E84-STIG_Metrics!G84)*$E84)</f>
        <v>100</v>
      </c>
      <c r="Q84" s="114">
        <f>IF($E84=0,"",(STIG_Metrics!E84-STIG_Metrics!H84)*$E84)</f>
        <v>30</v>
      </c>
      <c r="R84" s="115" t="str">
        <f t="shared" si="20"/>
        <v>12 Days 4 Hrs</v>
      </c>
      <c r="S84" s="32" t="str">
        <f t="shared" si="21"/>
        <v>2 Days 0 Hrs</v>
      </c>
      <c r="T84" s="48" t="str">
        <f t="shared" si="22"/>
        <v>0 Days 7 Hrs</v>
      </c>
      <c r="U84" s="237" t="str">
        <f t="shared" si="23"/>
        <v>0 Days 2 Hrs</v>
      </c>
      <c r="V84" s="125">
        <f>IF($E84=0,"",STIG_Metrics!R84)</f>
        <v>4.9555555555555548</v>
      </c>
      <c r="W84" s="49">
        <f>IF($E84=0,"",STIG_Metrics!S84)</f>
        <v>12.399999999999999</v>
      </c>
      <c r="X84" s="33">
        <f>IF($E84=0,"",STIG_Metrics!T84)</f>
        <v>43.666666666666664</v>
      </c>
      <c r="Y84" s="34">
        <f t="shared" si="24"/>
        <v>12663</v>
      </c>
      <c r="Z84" s="34">
        <f t="shared" si="27"/>
        <v>2126.25</v>
      </c>
      <c r="AA84" s="50">
        <f t="shared" si="13"/>
        <v>945</v>
      </c>
      <c r="AB84" s="34">
        <f t="shared" si="28"/>
        <v>283.5</v>
      </c>
      <c r="AC84" s="207">
        <f>IF($E84=0,"",IF(STIG_Metrics!N84=60,0,($E84/STIG_Metrics!N84)/24))</f>
        <v>4.1875</v>
      </c>
      <c r="AD84" s="146">
        <f>IF($E84=0,"",IF(STIG_Metrics!O84=60,0,($E84/STIG_Metrics!O84)/24))</f>
        <v>0.703125</v>
      </c>
      <c r="AE84" s="146">
        <f>IF($E84=0,"",IF(STIG_Metrics!P84=60,0,($E84/STIG_Metrics!P84)/24))</f>
        <v>0.3125</v>
      </c>
      <c r="AF84" s="146">
        <f>IF($E84=0,"",IF(STIG_Metrics!Q84=60,0,($E84/STIG_Metrics!Q84)/24))</f>
        <v>9.375E-2</v>
      </c>
      <c r="AG84" s="146">
        <f t="shared" si="25"/>
        <v>0.609375</v>
      </c>
      <c r="AH84" s="146">
        <f t="shared" si="26"/>
        <v>0.21875</v>
      </c>
      <c r="AI84" s="147">
        <f>IF($E84=0,"",$E84/STIG_Metrics!N84)</f>
        <v>100.5</v>
      </c>
      <c r="AJ84" s="147">
        <f>IF($E84=0,"",$E84/STIG_Metrics!O84)</f>
        <v>16.875</v>
      </c>
      <c r="AK84" s="147">
        <f>IF($E84=0,"",$E84/STIG_Metrics!P84)</f>
        <v>7.5</v>
      </c>
      <c r="AL84" s="147">
        <f>IF($E84=0,"",$E84/STIG_Metrics!Q84)</f>
        <v>2.25</v>
      </c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89"/>
      <c r="AY84" s="239"/>
      <c r="AZ84" s="110"/>
    </row>
    <row r="85" spans="2:52" ht="39.950000000000003" customHeight="1">
      <c r="B85" s="110"/>
      <c r="C85" s="90"/>
      <c r="D85" s="277" t="str">
        <f>(STIG_Metrics!A85)</f>
        <v>Microsoft Windows 11</v>
      </c>
      <c r="E85" s="218">
        <v>1867</v>
      </c>
      <c r="F85" s="121"/>
      <c r="G85" s="118">
        <f t="shared" si="18"/>
        <v>24644.399999999998</v>
      </c>
      <c r="H85" s="122">
        <f t="shared" si="10"/>
        <v>3105194.4</v>
      </c>
      <c r="I85" s="123">
        <f t="shared" si="19"/>
        <v>7841.4000000000005</v>
      </c>
      <c r="J85" s="182">
        <f t="shared" si="11"/>
        <v>988016.4</v>
      </c>
      <c r="K85" s="187">
        <f>IF($E85=0,"",(STIG_Metrics!E85)*$E85)</f>
        <v>494755</v>
      </c>
      <c r="L85" s="31">
        <f>IF($E85=0,"",(STIG_Metrics!F85)*$E85)</f>
        <v>401405</v>
      </c>
      <c r="M85" s="47">
        <f>IF($E85=0,"",(STIG_Metrics!G85)*$E85)</f>
        <v>457415</v>
      </c>
      <c r="N85" s="31">
        <f>IF($E85=0,"",(STIG_Metrics!H85)*$E85)</f>
        <v>483553</v>
      </c>
      <c r="O85" s="31">
        <f>IF($E85=0,"",(STIG_Metrics!E85-STIG_Metrics!F85)*$E85)</f>
        <v>93350</v>
      </c>
      <c r="P85" s="47">
        <f>IF($E85=0,"",(STIG_Metrics!E85-STIG_Metrics!G85)*$E85)</f>
        <v>37340</v>
      </c>
      <c r="Q85" s="114">
        <f>IF($E85=0,"",(STIG_Metrics!E85-STIG_Metrics!H85)*$E85)</f>
        <v>11202</v>
      </c>
      <c r="R85" s="115" t="str">
        <f t="shared" si="20"/>
        <v>4638 Days 2 Hrs</v>
      </c>
      <c r="S85" s="32" t="str">
        <f t="shared" si="21"/>
        <v>875 Days 1 Hrs</v>
      </c>
      <c r="T85" s="48" t="str">
        <f t="shared" si="22"/>
        <v>350 Days 0 Hrs</v>
      </c>
      <c r="U85" s="237" t="str">
        <f t="shared" si="23"/>
        <v>105 Days 0 Hrs</v>
      </c>
      <c r="V85" s="125">
        <f>IF($E85=0,"",STIG_Metrics!R85)</f>
        <v>4.3</v>
      </c>
      <c r="W85" s="49">
        <f>IF($E85=0,"",STIG_Metrics!S85)</f>
        <v>12.249999999999998</v>
      </c>
      <c r="X85" s="33">
        <f>IF($E85=0,"",STIG_Metrics!T85)</f>
        <v>43.166666666666664</v>
      </c>
      <c r="Y85" s="34">
        <f t="shared" si="24"/>
        <v>4675434.75</v>
      </c>
      <c r="Z85" s="34">
        <f t="shared" si="27"/>
        <v>882157.5</v>
      </c>
      <c r="AA85" s="50">
        <f t="shared" si="13"/>
        <v>352863</v>
      </c>
      <c r="AB85" s="34">
        <f t="shared" si="28"/>
        <v>105858.9</v>
      </c>
      <c r="AC85" s="207">
        <f>IF($E85=0,"",IF(STIG_Metrics!N85=60,0,($E85/STIG_Metrics!N85)/24))</f>
        <v>1546.109375</v>
      </c>
      <c r="AD85" s="148">
        <f>IF($E85=0,"",IF(STIG_Metrics!O85=60,0,($E85/STIG_Metrics!O85)/24))</f>
        <v>291.71875</v>
      </c>
      <c r="AE85" s="146">
        <f>IF($E85=0,"",IF(STIG_Metrics!P85=60,0,($E85/STIG_Metrics!P85)/24))</f>
        <v>116.6875</v>
      </c>
      <c r="AF85" s="148">
        <f>IF($E85=0,"",IF(STIG_Metrics!Q85=60,0,($E85/STIG_Metrics!Q85)/24))</f>
        <v>35.006250000000001</v>
      </c>
      <c r="AG85" s="148">
        <f t="shared" si="25"/>
        <v>256.71249999999998</v>
      </c>
      <c r="AH85" s="146">
        <f t="shared" si="26"/>
        <v>81.681250000000006</v>
      </c>
      <c r="AI85" s="149">
        <f>IF($E85=0,"",$E85/STIG_Metrics!N85)</f>
        <v>37106.625</v>
      </c>
      <c r="AJ85" s="149">
        <f>IF($E85=0,"",$E85/STIG_Metrics!O85)</f>
        <v>7001.25</v>
      </c>
      <c r="AK85" s="147">
        <f>IF($E85=0,"",$E85/STIG_Metrics!P85)</f>
        <v>2800.5</v>
      </c>
      <c r="AL85" s="149">
        <f>IF($E85=0,"",$E85/STIG_Metrics!Q85)</f>
        <v>840.15</v>
      </c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89"/>
      <c r="AY85" s="239"/>
      <c r="AZ85" s="110"/>
    </row>
    <row r="86" spans="2:52" ht="39.950000000000003" customHeight="1">
      <c r="B86" s="110"/>
      <c r="C86" s="90"/>
      <c r="D86" s="278" t="str">
        <f>(STIG_Metrics!A86)</f>
        <v>Microsoft Windows Defender Firewall with Advanced Security</v>
      </c>
      <c r="E86" s="218">
        <v>2010</v>
      </c>
      <c r="F86" s="120"/>
      <c r="G86" s="118">
        <f t="shared" si="18"/>
        <v>0</v>
      </c>
      <c r="H86" s="122">
        <f t="shared" si="10"/>
        <v>0</v>
      </c>
      <c r="I86" s="123">
        <f t="shared" si="19"/>
        <v>0</v>
      </c>
      <c r="J86" s="182">
        <f t="shared" si="11"/>
        <v>0</v>
      </c>
      <c r="K86" s="186">
        <f>IF($E86=0,"",(STIG_Metrics!E86)*$E86)</f>
        <v>42210</v>
      </c>
      <c r="L86" s="47">
        <f>IF($E86=0,"",(STIG_Metrics!F86)*$E86)</f>
        <v>40200</v>
      </c>
      <c r="M86" s="47">
        <f>IF($E86=0,"",(STIG_Metrics!G86)*$E86)</f>
        <v>40200</v>
      </c>
      <c r="N86" s="47">
        <f>IF($E86=0,"",(STIG_Metrics!H86)*$E86)</f>
        <v>40200</v>
      </c>
      <c r="O86" s="47">
        <f>IF($E86=0,"",(STIG_Metrics!E86-STIG_Metrics!F86)*$E86)</f>
        <v>2010</v>
      </c>
      <c r="P86" s="47">
        <f>IF($E86=0,"",(STIG_Metrics!E86-STIG_Metrics!G86)*$E86)</f>
        <v>2010</v>
      </c>
      <c r="Q86" s="112">
        <f>IF($E86=0,"",(STIG_Metrics!E86-STIG_Metrics!H86)*$E86)</f>
        <v>2010</v>
      </c>
      <c r="R86" s="113" t="str">
        <f t="shared" si="20"/>
        <v>395 Days 5 Hrs</v>
      </c>
      <c r="S86" s="48" t="str">
        <f t="shared" si="21"/>
        <v>18 Days 6 Hrs</v>
      </c>
      <c r="T86" s="48" t="str">
        <f t="shared" si="22"/>
        <v>18 Days 6 Hrs</v>
      </c>
      <c r="U86" s="236" t="str">
        <f t="shared" si="23"/>
        <v>18 Days 6 Hrs</v>
      </c>
      <c r="V86" s="124">
        <f>IF($E86=0,"",STIG_Metrics!R86)</f>
        <v>20.000000000000004</v>
      </c>
      <c r="W86" s="49">
        <f>IF($E86=0,"",STIG_Metrics!S86)</f>
        <v>20.000000000000004</v>
      </c>
      <c r="X86" s="49">
        <f>IF($E86=0,"",STIG_Metrics!T86)</f>
        <v>20.000000000000004</v>
      </c>
      <c r="Y86" s="50">
        <f t="shared" si="24"/>
        <v>398884.5</v>
      </c>
      <c r="Z86" s="50">
        <f t="shared" si="27"/>
        <v>18994.5</v>
      </c>
      <c r="AA86" s="50">
        <f t="shared" si="13"/>
        <v>18994.5</v>
      </c>
      <c r="AB86" s="50">
        <f t="shared" si="28"/>
        <v>18994.5</v>
      </c>
      <c r="AC86" s="207">
        <f>IF($E86=0,"",IF(STIG_Metrics!N86=60,0,($E86/STIG_Metrics!N86)/24))</f>
        <v>131.90625</v>
      </c>
      <c r="AD86" s="146">
        <f>IF($E86=0,"",IF(STIG_Metrics!O86=60,0,($E86/STIG_Metrics!O86)/24))</f>
        <v>6.28125</v>
      </c>
      <c r="AE86" s="146">
        <f>IF($E86=0,"",IF(STIG_Metrics!P86=60,0,($E86/STIG_Metrics!P86)/24))</f>
        <v>6.28125</v>
      </c>
      <c r="AF86" s="146">
        <f>IF($E86=0,"",IF(STIG_Metrics!Q86=60,0,($E86/STIG_Metrics!Q86)/24))</f>
        <v>6.28125</v>
      </c>
      <c r="AG86" s="146">
        <f t="shared" si="25"/>
        <v>0</v>
      </c>
      <c r="AH86" s="146">
        <f t="shared" si="26"/>
        <v>0</v>
      </c>
      <c r="AI86" s="147">
        <f>IF($E86=0,"",$E86/STIG_Metrics!N86)</f>
        <v>3165.75</v>
      </c>
      <c r="AJ86" s="147">
        <f>IF($E86=0,"",$E86/STIG_Metrics!O86)</f>
        <v>150.75</v>
      </c>
      <c r="AK86" s="147">
        <f>IF($E86=0,"",$E86/STIG_Metrics!P86)</f>
        <v>150.75</v>
      </c>
      <c r="AL86" s="147">
        <f>IF($E86=0,"",$E86/STIG_Metrics!Q86)</f>
        <v>150.75</v>
      </c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89"/>
      <c r="AY86" s="239"/>
      <c r="AZ86" s="110"/>
    </row>
    <row r="87" spans="2:52" ht="39.950000000000003" customHeight="1">
      <c r="B87" s="110"/>
      <c r="C87" s="90"/>
      <c r="D87" s="277" t="str">
        <f>(STIG_Metrics!A87)</f>
        <v>Microsoft Windows Server 2012/2012 R2 Domain Controller</v>
      </c>
      <c r="E87" s="218">
        <v>0</v>
      </c>
      <c r="F87" s="121"/>
      <c r="G87" s="118" t="str">
        <f t="shared" si="18"/>
        <v/>
      </c>
      <c r="H87" s="122" t="str">
        <f t="shared" si="10"/>
        <v/>
      </c>
      <c r="I87" s="123" t="str">
        <f t="shared" si="19"/>
        <v/>
      </c>
      <c r="J87" s="182" t="str">
        <f t="shared" si="11"/>
        <v/>
      </c>
      <c r="K87" s="187" t="str">
        <f>IF($E87=0,"",(STIG_Metrics!E87)*$E87)</f>
        <v/>
      </c>
      <c r="L87" s="31" t="str">
        <f>IF($E87=0,"",(STIG_Metrics!F87)*$E87)</f>
        <v/>
      </c>
      <c r="M87" s="47" t="str">
        <f>IF($E87=0,"",(STIG_Metrics!G87)*$E87)</f>
        <v/>
      </c>
      <c r="N87" s="31" t="str">
        <f>IF($E87=0,"",(STIG_Metrics!H87)*$E87)</f>
        <v/>
      </c>
      <c r="O87" s="31" t="str">
        <f>IF($E87=0,"",(STIG_Metrics!E87-STIG_Metrics!F87)*$E87)</f>
        <v/>
      </c>
      <c r="P87" s="47" t="str">
        <f>IF($E87=0,"",(STIG_Metrics!E87-STIG_Metrics!G87)*$E87)</f>
        <v/>
      </c>
      <c r="Q87" s="114" t="str">
        <f>IF($E87=0,"",(STIG_Metrics!E87-STIG_Metrics!H87)*$E87)</f>
        <v/>
      </c>
      <c r="R87" s="115" t="str">
        <f t="shared" si="20"/>
        <v/>
      </c>
      <c r="S87" s="32" t="str">
        <f t="shared" si="21"/>
        <v/>
      </c>
      <c r="T87" s="48" t="str">
        <f t="shared" si="22"/>
        <v/>
      </c>
      <c r="U87" s="237" t="str">
        <f t="shared" si="23"/>
        <v/>
      </c>
      <c r="V87" s="125" t="str">
        <f>IF($E87=0,"",STIG_Metrics!R87)</f>
        <v/>
      </c>
      <c r="W87" s="49" t="str">
        <f>IF($E87=0,"",STIG_Metrics!S87)</f>
        <v/>
      </c>
      <c r="X87" s="33" t="str">
        <f>IF($E87=0,"",STIG_Metrics!T87)</f>
        <v/>
      </c>
      <c r="Y87" s="34" t="str">
        <f t="shared" si="24"/>
        <v/>
      </c>
      <c r="Z87" s="34" t="str">
        <f t="shared" si="27"/>
        <v/>
      </c>
      <c r="AA87" s="50" t="str">
        <f t="shared" si="13"/>
        <v/>
      </c>
      <c r="AB87" s="34" t="str">
        <f t="shared" si="28"/>
        <v/>
      </c>
      <c r="AC87" s="207" t="str">
        <f>IF($E87=0,"",IF(STIG_Metrics!N87=60,0,($E87/STIG_Metrics!N87)/24))</f>
        <v/>
      </c>
      <c r="AD87" s="146" t="str">
        <f>IF($E87=0,"",IF(STIG_Metrics!O87=60,0,($E87/STIG_Metrics!O87)/24))</f>
        <v/>
      </c>
      <c r="AE87" s="146" t="str">
        <f>IF($E87=0,"",IF(STIG_Metrics!P87=60,0,($E87/STIG_Metrics!P87)/24))</f>
        <v/>
      </c>
      <c r="AF87" s="146" t="str">
        <f>IF($E87=0,"",IF(STIG_Metrics!Q87=60,0,($E87/STIG_Metrics!Q87)/24))</f>
        <v/>
      </c>
      <c r="AG87" s="146" t="str">
        <f t="shared" si="25"/>
        <v/>
      </c>
      <c r="AH87" s="146" t="str">
        <f t="shared" si="26"/>
        <v/>
      </c>
      <c r="AI87" s="147" t="str">
        <f>IF($E87=0,"",$E87/STIG_Metrics!N87)</f>
        <v/>
      </c>
      <c r="AJ87" s="147" t="str">
        <f>IF($E87=0,"",$E87/STIG_Metrics!O87)</f>
        <v/>
      </c>
      <c r="AK87" s="147" t="str">
        <f>IF($E87=0,"",$E87/STIG_Metrics!P87)</f>
        <v/>
      </c>
      <c r="AL87" s="147" t="str">
        <f>IF($E87=0,"",$E87/STIG_Metrics!Q87)</f>
        <v/>
      </c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89"/>
      <c r="AY87" s="239"/>
      <c r="AZ87" s="110"/>
    </row>
    <row r="88" spans="2:52" ht="39.950000000000003" customHeight="1">
      <c r="B88" s="110"/>
      <c r="C88" s="90"/>
      <c r="D88" s="277" t="str">
        <f>(STIG_Metrics!A88)</f>
        <v>Microsoft Windows Server 2012/2012 R2 Member Server</v>
      </c>
      <c r="E88" s="218">
        <v>0</v>
      </c>
      <c r="F88" s="121"/>
      <c r="G88" s="118" t="str">
        <f t="shared" ref="G88:G117" si="30">IF(E88=0,"",(AG88*24)*4)</f>
        <v/>
      </c>
      <c r="H88" s="122" t="str">
        <f t="shared" si="10"/>
        <v/>
      </c>
      <c r="I88" s="123" t="str">
        <f t="shared" ref="I88:I117" si="31">IF(E88=0,"",(AH88*24)*4)</f>
        <v/>
      </c>
      <c r="J88" s="182" t="str">
        <f t="shared" si="11"/>
        <v/>
      </c>
      <c r="K88" s="187" t="str">
        <f>IF($E88=0,"",(STIG_Metrics!E88)*$E88)</f>
        <v/>
      </c>
      <c r="L88" s="31" t="str">
        <f>IF($E88=0,"",(STIG_Metrics!F88)*$E88)</f>
        <v/>
      </c>
      <c r="M88" s="47" t="str">
        <f>IF($E88=0,"",(STIG_Metrics!G88)*$E88)</f>
        <v/>
      </c>
      <c r="N88" s="31" t="str">
        <f>IF($E88=0,"",(STIG_Metrics!H88)*$E88)</f>
        <v/>
      </c>
      <c r="O88" s="31" t="str">
        <f>IF($E88=0,"",(STIG_Metrics!E88-STIG_Metrics!F88)*$E88)</f>
        <v/>
      </c>
      <c r="P88" s="47" t="str">
        <f>IF($E88=0,"",(STIG_Metrics!E88-STIG_Metrics!G88)*$E88)</f>
        <v/>
      </c>
      <c r="Q88" s="114" t="str">
        <f>IF($E88=0,"",(STIG_Metrics!E88-STIG_Metrics!H88)*$E88)</f>
        <v/>
      </c>
      <c r="R88" s="115" t="str">
        <f t="shared" ref="R88:R117" si="32">IF($E88=0,"",FLOOR($AC88*3,1)&amp;" Days"&amp;TEXT(SUM($AC88-TIME(8,0,0)*FLOOR($AC88*3,1))," h")&amp;" Hrs")</f>
        <v/>
      </c>
      <c r="S88" s="32" t="str">
        <f t="shared" ref="S88:S117" si="33">IF($E88=0,"",FLOOR($AD88*3,1)&amp;" Days"&amp;TEXT(SUM($AD88-TIME(8,0,0)*FLOOR($AD88*3,1))," h")&amp;" Hrs")</f>
        <v/>
      </c>
      <c r="T88" s="48" t="str">
        <f t="shared" ref="T88:T117" si="34">IF($E88=0,"",FLOOR($AE88*3,1)&amp;" Days"&amp;TEXT(SUM($AE88-TIME(8,0,0)*FLOOR($AE88*3,1))," h")&amp;" Hrs")</f>
        <v/>
      </c>
      <c r="U88" s="237" t="str">
        <f t="shared" ref="U88:U117" si="35">IF($E88=0,"",FLOOR($AF88*3,1)&amp; " Days"&amp;TEXT(SUM($AF88-TIME(8,0,0)*FLOOR($AF88*3,1))," h") &amp; " Hrs")</f>
        <v/>
      </c>
      <c r="V88" s="125" t="str">
        <f>IF($E88=0,"",STIG_Metrics!R88)</f>
        <v/>
      </c>
      <c r="W88" s="49" t="str">
        <f>IF($E88=0,"",STIG_Metrics!S88)</f>
        <v/>
      </c>
      <c r="X88" s="33" t="str">
        <f>IF($E88=0,"",STIG_Metrics!T88)</f>
        <v/>
      </c>
      <c r="Y88" s="34" t="str">
        <f t="shared" ref="Y88:Y117" si="36">IF($E88=0,"",((K88*$E$8/60)*$E$7))</f>
        <v/>
      </c>
      <c r="Z88" s="34" t="str">
        <f t="shared" si="27"/>
        <v/>
      </c>
      <c r="AA88" s="50" t="str">
        <f t="shared" si="13"/>
        <v/>
      </c>
      <c r="AB88" s="34" t="str">
        <f t="shared" si="28"/>
        <v/>
      </c>
      <c r="AC88" s="208" t="str">
        <f>IF($E88=0,"",IF(STIG_Metrics!N88=60,0,($E88/STIG_Metrics!N88)/24))</f>
        <v/>
      </c>
      <c r="AD88" s="148" t="str">
        <f>IF($E88=0,"",IF(STIG_Metrics!O88=60,0,($E88/STIG_Metrics!O88)/24))</f>
        <v/>
      </c>
      <c r="AE88" s="146" t="str">
        <f>IF($E88=0,"",IF(STIG_Metrics!P88=60,0,($E88/STIG_Metrics!P88)/24))</f>
        <v/>
      </c>
      <c r="AF88" s="148" t="str">
        <f>IF($E88=0,"",IF(STIG_Metrics!Q88=60,0,($E88/STIG_Metrics!Q88)/24))</f>
        <v/>
      </c>
      <c r="AG88" s="148" t="str">
        <f t="shared" ref="AG88:AG117" si="37">IF($E88=0,"",$AD88-$AF88)</f>
        <v/>
      </c>
      <c r="AH88" s="146" t="str">
        <f t="shared" ref="AH88:AH117" si="38">IF($E88=0,"",$AE88-$AF88)</f>
        <v/>
      </c>
      <c r="AI88" s="149" t="str">
        <f>IF($E88=0,"",$E88/STIG_Metrics!N88)</f>
        <v/>
      </c>
      <c r="AJ88" s="149" t="str">
        <f>IF($E88=0,"",$E88/STIG_Metrics!O88)</f>
        <v/>
      </c>
      <c r="AK88" s="147" t="str">
        <f>IF($E88=0,"",$E88/STIG_Metrics!P88)</f>
        <v/>
      </c>
      <c r="AL88" s="149" t="str">
        <f>IF($E88=0,"",$E88/STIG_Metrics!Q88)</f>
        <v/>
      </c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89"/>
      <c r="AY88" s="239"/>
      <c r="AZ88" s="110"/>
    </row>
    <row r="89" spans="2:52" ht="39.950000000000003" customHeight="1">
      <c r="B89" s="110"/>
      <c r="C89" s="90"/>
      <c r="D89" s="277" t="str">
        <f>(STIG_Metrics!A89)</f>
        <v>Microsoft Windows Server 2016</v>
      </c>
      <c r="E89" s="218">
        <v>21</v>
      </c>
      <c r="F89" s="121"/>
      <c r="G89" s="118">
        <f t="shared" si="30"/>
        <v>239.39999999999998</v>
      </c>
      <c r="H89" s="122">
        <f t="shared" ref="H89:H117" si="39">IF(E89=0,"",PRODUCT($G89,$E$7))</f>
        <v>30164.399999999998</v>
      </c>
      <c r="I89" s="123">
        <f t="shared" si="31"/>
        <v>31.5</v>
      </c>
      <c r="J89" s="182">
        <f t="shared" ref="J89:J117" si="40">IF(E89=0,"",PRODUCT($I89,$E$7))</f>
        <v>3969</v>
      </c>
      <c r="K89" s="187">
        <f>IF($E89=0,"",(STIG_Metrics!E89)*$E89)</f>
        <v>5733</v>
      </c>
      <c r="L89" s="31">
        <f>IF($E89=0,"",(STIG_Metrics!F89)*$E89)</f>
        <v>4242</v>
      </c>
      <c r="M89" s="47">
        <f>IF($E89=0,"",(STIG_Metrics!G89)*$E89)</f>
        <v>4935</v>
      </c>
      <c r="N89" s="31">
        <f>IF($E89=0,"",(STIG_Metrics!H89)*$E89)</f>
        <v>5040</v>
      </c>
      <c r="O89" s="31">
        <f>IF($E89=0,"",(STIG_Metrics!E89-STIG_Metrics!F89)*$E89)</f>
        <v>1491</v>
      </c>
      <c r="P89" s="47">
        <f>IF($E89=0,"",(STIG_Metrics!E89-STIG_Metrics!G89)*$E89)</f>
        <v>798</v>
      </c>
      <c r="Q89" s="114">
        <f>IF($E89=0,"",(STIG_Metrics!E89-STIG_Metrics!H89)*$E89)</f>
        <v>693</v>
      </c>
      <c r="R89" s="115" t="str">
        <f t="shared" si="32"/>
        <v>53 Days 5 Hrs</v>
      </c>
      <c r="S89" s="32" t="str">
        <f t="shared" si="33"/>
        <v>13 Days 7 Hrs</v>
      </c>
      <c r="T89" s="48" t="str">
        <f t="shared" si="34"/>
        <v>7 Days 3 Hrs</v>
      </c>
      <c r="U89" s="237" t="str">
        <f t="shared" si="35"/>
        <v>6 Days 3 Hrs</v>
      </c>
      <c r="V89" s="125">
        <f>IF($E89=0,"",STIG_Metrics!R89)</f>
        <v>2.845070422535211</v>
      </c>
      <c r="W89" s="49">
        <f>IF($E89=0,"",STIG_Metrics!S89)</f>
        <v>6.1842105263157894</v>
      </c>
      <c r="X89" s="33">
        <f>IF($E89=0,"",STIG_Metrics!T89)</f>
        <v>7.2727272727272725</v>
      </c>
      <c r="Y89" s="34">
        <f t="shared" si="36"/>
        <v>54176.850000000006</v>
      </c>
      <c r="Z89" s="34">
        <f t="shared" ref="Z89:Z117" si="41">IF($E89=0,"",((O89*$E$8/60)*$E$7))</f>
        <v>14089.95</v>
      </c>
      <c r="AA89" s="50">
        <f t="shared" ref="AA89:AA117" si="42">IF($E89=0,"",((P89*$E$8/60)*$E$7))</f>
        <v>7541.1</v>
      </c>
      <c r="AB89" s="34">
        <f t="shared" ref="AB89:AB117" si="43">IF($E89=0,"",((Q89*$E$8/60)*$E$7))</f>
        <v>6548.85</v>
      </c>
      <c r="AC89" s="207">
        <f>IF($E89=0,"",IF(STIG_Metrics!N89=60,0,($E89/STIG_Metrics!N89)/24))</f>
        <v>17.915625000000002</v>
      </c>
      <c r="AD89" s="146">
        <f>IF($E89=0,"",IF(STIG_Metrics!O89=60,0,($E89/STIG_Metrics!O89)/24))</f>
        <v>4.6593749999999998</v>
      </c>
      <c r="AE89" s="146">
        <f>IF($E89=0,"",IF(STIG_Metrics!P89=60,0,($E89/STIG_Metrics!P89)/24))</f>
        <v>2.4937499999999999</v>
      </c>
      <c r="AF89" s="146">
        <f>IF($E89=0,"",IF(STIG_Metrics!Q89=60,0,($E89/STIG_Metrics!Q89)/24))</f>
        <v>2.1656249999999999</v>
      </c>
      <c r="AG89" s="146">
        <f t="shared" si="37"/>
        <v>2.4937499999999999</v>
      </c>
      <c r="AH89" s="146">
        <f t="shared" si="38"/>
        <v>0.328125</v>
      </c>
      <c r="AI89" s="147">
        <f>IF($E89=0,"",$E89/STIG_Metrics!N89)</f>
        <v>429.97500000000002</v>
      </c>
      <c r="AJ89" s="147">
        <f>IF($E89=0,"",$E89/STIG_Metrics!O89)</f>
        <v>111.825</v>
      </c>
      <c r="AK89" s="147">
        <f>IF($E89=0,"",$E89/STIG_Metrics!P89)</f>
        <v>59.85</v>
      </c>
      <c r="AL89" s="147">
        <f>IF($E89=0,"",$E89/STIG_Metrics!Q89)</f>
        <v>51.975000000000001</v>
      </c>
      <c r="AM89" s="92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89"/>
      <c r="AY89" s="243"/>
      <c r="AZ89" s="110"/>
    </row>
    <row r="90" spans="2:52" ht="39.950000000000003" customHeight="1">
      <c r="B90" s="110"/>
      <c r="C90" s="90"/>
      <c r="D90" s="277" t="str">
        <f>(STIG_Metrics!A90)</f>
        <v>Microsoft Windows Server 2019</v>
      </c>
      <c r="E90" s="218">
        <v>117</v>
      </c>
      <c r="F90" s="121"/>
      <c r="G90" s="118">
        <f t="shared" si="30"/>
        <v>1439.1</v>
      </c>
      <c r="H90" s="122">
        <f t="shared" si="39"/>
        <v>181326.59999999998</v>
      </c>
      <c r="I90" s="123">
        <f t="shared" si="31"/>
        <v>491.39999999999969</v>
      </c>
      <c r="J90" s="182">
        <f t="shared" si="40"/>
        <v>61916.399999999958</v>
      </c>
      <c r="K90" s="187">
        <f>IF($E90=0,"",(STIG_Metrics!E90)*$E90)</f>
        <v>33111</v>
      </c>
      <c r="L90" s="31">
        <f>IF($E90=0,"",(STIG_Metrics!F90)*$E90)</f>
        <v>24570</v>
      </c>
      <c r="M90" s="47">
        <f>IF($E90=0,"",(STIG_Metrics!G90)*$E90)</f>
        <v>27729</v>
      </c>
      <c r="N90" s="31">
        <f>IF($E90=0,"",(STIG_Metrics!H90)*$E90)</f>
        <v>29367</v>
      </c>
      <c r="O90" s="31">
        <f>IF($E90=0,"",(STIG_Metrics!E90-STIG_Metrics!F90)*$E90)</f>
        <v>8541</v>
      </c>
      <c r="P90" s="47">
        <f>IF($E90=0,"",(STIG_Metrics!E90-STIG_Metrics!G90)*$E90)</f>
        <v>5382</v>
      </c>
      <c r="Q90" s="114">
        <f>IF($E90=0,"",(STIG_Metrics!E90-STIG_Metrics!H90)*$E90)</f>
        <v>3744</v>
      </c>
      <c r="R90" s="115" t="str">
        <f t="shared" si="32"/>
        <v>310 Days 3 Hrs</v>
      </c>
      <c r="S90" s="32" t="str">
        <f t="shared" si="33"/>
        <v>80 Days 0 Hrs</v>
      </c>
      <c r="T90" s="48" t="str">
        <f t="shared" si="34"/>
        <v>50 Days 3 Hrs</v>
      </c>
      <c r="U90" s="237" t="str">
        <f t="shared" si="35"/>
        <v>35 Days 0 Hrs</v>
      </c>
      <c r="V90" s="125">
        <f>IF($E90=0,"",STIG_Metrics!R90)</f>
        <v>2.8767123287671228</v>
      </c>
      <c r="W90" s="49">
        <f>IF($E90=0,"",STIG_Metrics!S90)</f>
        <v>5.1521739130434785</v>
      </c>
      <c r="X90" s="33">
        <f>IF($E90=0,"",STIG_Metrics!T90)</f>
        <v>7.84375</v>
      </c>
      <c r="Y90" s="34">
        <f t="shared" si="36"/>
        <v>312898.94999999995</v>
      </c>
      <c r="Z90" s="34">
        <f t="shared" si="41"/>
        <v>80712.450000000012</v>
      </c>
      <c r="AA90" s="50">
        <f t="shared" si="42"/>
        <v>50859.899999999994</v>
      </c>
      <c r="AB90" s="34">
        <f t="shared" si="43"/>
        <v>35380.800000000003</v>
      </c>
      <c r="AC90" s="207">
        <f>IF($E90=0,"",IF(STIG_Metrics!N90=60,0,($E90/STIG_Metrics!N90)/24))</f>
        <v>103.471875</v>
      </c>
      <c r="AD90" s="146">
        <f>IF($E90=0,"",IF(STIG_Metrics!O90=60,0,($E90/STIG_Metrics!O90)/24))</f>
        <v>26.690625000000001</v>
      </c>
      <c r="AE90" s="146">
        <f>IF($E90=0,"",IF(STIG_Metrics!P90=60,0,($E90/STIG_Metrics!P90)/24))</f>
        <v>16.818749999999998</v>
      </c>
      <c r="AF90" s="146">
        <f>IF($E90=0,"",IF(STIG_Metrics!Q90=60,0,($E90/STIG_Metrics!Q90)/24))</f>
        <v>11.700000000000001</v>
      </c>
      <c r="AG90" s="146">
        <f t="shared" si="37"/>
        <v>14.990625</v>
      </c>
      <c r="AH90" s="146">
        <f t="shared" si="38"/>
        <v>5.1187499999999968</v>
      </c>
      <c r="AI90" s="147">
        <f>IF($E90=0,"",$E90/STIG_Metrics!N90)</f>
        <v>2483.3249999999998</v>
      </c>
      <c r="AJ90" s="147">
        <f>IF($E90=0,"",$E90/STIG_Metrics!O90)</f>
        <v>640.57500000000005</v>
      </c>
      <c r="AK90" s="147">
        <f>IF($E90=0,"",$E90/STIG_Metrics!P90)</f>
        <v>403.65</v>
      </c>
      <c r="AL90" s="147">
        <f>IF($E90=0,"",$E90/STIG_Metrics!Q90)</f>
        <v>280.8</v>
      </c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119"/>
      <c r="AY90" s="243"/>
      <c r="AZ90" s="110"/>
    </row>
    <row r="91" spans="2:52" ht="39.950000000000003" customHeight="1">
      <c r="B91" s="110"/>
      <c r="C91" s="90"/>
      <c r="D91" s="277" t="str">
        <f>(STIG_Metrics!A91)</f>
        <v>Microsoft Windows Server 2022</v>
      </c>
      <c r="E91" s="218">
        <v>0</v>
      </c>
      <c r="F91" s="121"/>
      <c r="G91" s="118" t="str">
        <f t="shared" si="30"/>
        <v/>
      </c>
      <c r="H91" s="122" t="str">
        <f t="shared" si="39"/>
        <v/>
      </c>
      <c r="I91" s="123" t="str">
        <f t="shared" si="31"/>
        <v/>
      </c>
      <c r="J91" s="182" t="str">
        <f t="shared" si="40"/>
        <v/>
      </c>
      <c r="K91" s="187" t="str">
        <f>IF($E91=0,"",(STIG_Metrics!E91)*$E91)</f>
        <v/>
      </c>
      <c r="L91" s="31" t="str">
        <f>IF($E91=0,"",(STIG_Metrics!F91)*$E91)</f>
        <v/>
      </c>
      <c r="M91" s="47" t="str">
        <f>IF($E91=0,"",(STIG_Metrics!G91)*$E91)</f>
        <v/>
      </c>
      <c r="N91" s="31" t="str">
        <f>IF($E91=0,"",(STIG_Metrics!H91)*$E91)</f>
        <v/>
      </c>
      <c r="O91" s="31" t="str">
        <f>IF($E91=0,"",(STIG_Metrics!E91-STIG_Metrics!F91)*$E91)</f>
        <v/>
      </c>
      <c r="P91" s="47" t="str">
        <f>IF($E91=0,"",(STIG_Metrics!E91-STIG_Metrics!G91)*$E91)</f>
        <v/>
      </c>
      <c r="Q91" s="114" t="str">
        <f>IF($E91=0,"",(STIG_Metrics!E91-STIG_Metrics!H91)*$E91)</f>
        <v/>
      </c>
      <c r="R91" s="115" t="str">
        <f t="shared" si="32"/>
        <v/>
      </c>
      <c r="S91" s="32" t="str">
        <f t="shared" si="33"/>
        <v/>
      </c>
      <c r="T91" s="48" t="str">
        <f t="shared" si="34"/>
        <v/>
      </c>
      <c r="U91" s="237" t="str">
        <f t="shared" si="35"/>
        <v/>
      </c>
      <c r="V91" s="125" t="str">
        <f>IF($E91=0,"",STIG_Metrics!R91)</f>
        <v/>
      </c>
      <c r="W91" s="49" t="str">
        <f>IF($E91=0,"",STIG_Metrics!S91)</f>
        <v/>
      </c>
      <c r="X91" s="33" t="str">
        <f>IF($E91=0,"",STIG_Metrics!T91)</f>
        <v/>
      </c>
      <c r="Y91" s="34" t="str">
        <f t="shared" si="36"/>
        <v/>
      </c>
      <c r="Z91" s="34" t="str">
        <f t="shared" si="41"/>
        <v/>
      </c>
      <c r="AA91" s="50" t="str">
        <f t="shared" si="42"/>
        <v/>
      </c>
      <c r="AB91" s="34" t="str">
        <f t="shared" si="43"/>
        <v/>
      </c>
      <c r="AC91" s="207" t="str">
        <f>IF($E91=0,"",IF(STIG_Metrics!N91=60,0,($E91/STIG_Metrics!N91)/24))</f>
        <v/>
      </c>
      <c r="AD91" s="146" t="str">
        <f>IF($E91=0,"",IF(STIG_Metrics!O91=60,0,($E91/STIG_Metrics!O91)/24))</f>
        <v/>
      </c>
      <c r="AE91" s="146" t="str">
        <f>IF($E91=0,"",IF(STIG_Metrics!P91=60,0,($E91/STIG_Metrics!P91)/24))</f>
        <v/>
      </c>
      <c r="AF91" s="146" t="str">
        <f>IF($E91=0,"",IF(STIG_Metrics!Q91=60,0,($E91/STIG_Metrics!Q91)/24))</f>
        <v/>
      </c>
      <c r="AG91" s="146" t="str">
        <f t="shared" si="37"/>
        <v/>
      </c>
      <c r="AH91" s="146" t="str">
        <f t="shared" si="38"/>
        <v/>
      </c>
      <c r="AI91" s="147" t="str">
        <f>IF($E91=0,"",$E91/STIG_Metrics!N91)</f>
        <v/>
      </c>
      <c r="AJ91" s="147" t="str">
        <f>IF($E91=0,"",$E91/STIG_Metrics!O91)</f>
        <v/>
      </c>
      <c r="AK91" s="147" t="str">
        <f>IF($E91=0,"",$E91/STIG_Metrics!P91)</f>
        <v/>
      </c>
      <c r="AL91" s="147" t="str">
        <f>IF($E91=0,"",$E91/STIG_Metrics!Q91)</f>
        <v/>
      </c>
      <c r="AM91" s="90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119"/>
      <c r="AY91" s="239"/>
      <c r="AZ91" s="110"/>
    </row>
    <row r="92" spans="2:52" ht="39.950000000000003" customHeight="1">
      <c r="B92" s="110"/>
      <c r="C92" s="90"/>
      <c r="D92" s="277" t="str">
        <f>(STIG_Metrics!A92)</f>
        <v>Microsoft Windows Server Domain Name System (DNS)</v>
      </c>
      <c r="E92" s="218">
        <v>2</v>
      </c>
      <c r="F92" s="121"/>
      <c r="G92" s="265">
        <f>IF(E92=0,"",(AG92*24)*4)</f>
        <v>41.399999999999991</v>
      </c>
      <c r="H92" s="266">
        <f>IF(E92=0,"",PRODUCT($G92,$E$7))</f>
        <v>5216.3999999999987</v>
      </c>
      <c r="I92" s="267">
        <f>IF(E92=0,"",(AH92*24)*4)</f>
        <v>16.200000000000003</v>
      </c>
      <c r="J92" s="268">
        <f>IF(E92=0,"",PRODUCT($I92,$E$7))</f>
        <v>2041.2000000000003</v>
      </c>
      <c r="K92" s="187">
        <f>IF($E92=0,"",(STIG_Metrics!E92)*$E92)</f>
        <v>166</v>
      </c>
      <c r="L92" s="31">
        <f>IF($E92=0,"",(STIG_Metrics!F92)*$E92)</f>
        <v>0</v>
      </c>
      <c r="M92" s="47">
        <f>IF($E92=0,"",(STIG_Metrics!G92)*$E92)</f>
        <v>84</v>
      </c>
      <c r="N92" s="31">
        <f>IF($E92=0,"",(STIG_Metrics!H92)*$E92)</f>
        <v>138</v>
      </c>
      <c r="O92" s="31">
        <f>IF($E92=0,"",(STIG_Metrics!E92-STIG_Metrics!F92)*$E92)</f>
        <v>166</v>
      </c>
      <c r="P92" s="31">
        <f>IF($E92=0,"",(STIG_Metrics!E92-STIG_Metrics!G92)*$E92)</f>
        <v>82</v>
      </c>
      <c r="Q92" s="114">
        <f>IF($E92=0,"",(STIG_Metrics!E92-STIG_Metrics!H92)*$E92)</f>
        <v>28</v>
      </c>
      <c r="R92" s="115" t="str">
        <f>IF($E92=0,"",FLOOR($AC92*3,1)&amp;" Days"&amp;TEXT(SUM($AC92-TIME(8,0,0)*FLOOR($AC92*3,1))," h")&amp;" Hrs")</f>
        <v>1 Days 4 Hrs</v>
      </c>
      <c r="S92" s="32" t="str">
        <f>IF($E92=0,"",FLOOR($AD92*3,1)&amp;" Days"&amp;TEXT(SUM($AD92-TIME(8,0,0)*FLOOR($AD92*3,1))," h")&amp;" Hrs")</f>
        <v>1 Days 4 Hrs</v>
      </c>
      <c r="T92" s="32" t="str">
        <f>IF($E92=0,"",FLOOR($AE92*3,1)&amp;" Days"&amp;TEXT(SUM($AE92-TIME(8,0,0)*FLOOR($AE92*3,1))," h")&amp;" Hrs")</f>
        <v>0 Days 6 Hrs</v>
      </c>
      <c r="U92" s="237" t="str">
        <f>IF($E92=0,"",FLOOR($AF92*3,1)&amp; " Days"&amp;TEXT(SUM($AF92-TIME(8,0,0)*FLOOR($AF92*3,1))," h") &amp; " Hrs")</f>
        <v>0 Days 2 Hrs</v>
      </c>
      <c r="V92" s="269">
        <f>IF($E92=0,"",STIG_Metrics!R92)</f>
        <v>0</v>
      </c>
      <c r="W92" s="33">
        <f>IF($E92=0,"",STIG_Metrics!S92)</f>
        <v>1.024390243902439</v>
      </c>
      <c r="X92" s="33">
        <f>IF($E92=0,"",STIG_Metrics!T92)</f>
        <v>4.9285714285714279</v>
      </c>
      <c r="Y92" s="34">
        <f>IF($E92=0,"",((K92*$E$8/60)*$E$7))</f>
        <v>1568.6999999999998</v>
      </c>
      <c r="Z92" s="34">
        <f>IF($E92=0,"",((O92*$E$8/60)*$E$7))</f>
        <v>1568.6999999999998</v>
      </c>
      <c r="AA92" s="34">
        <f>IF($E92=0,"",((P92*$E$8/60)*$E$7))</f>
        <v>774.90000000000009</v>
      </c>
      <c r="AB92" s="34">
        <f>IF($E92=0,"",((Q92*$E$8/60)*$E$7))</f>
        <v>264.60000000000002</v>
      </c>
      <c r="AC92" s="148">
        <f>IF($E92=0,"",IF(STIG_Metrics!N92=60,0,($E92/STIG_Metrics!N92)/24))</f>
        <v>0.51874999999999993</v>
      </c>
      <c r="AD92" s="148">
        <f>IF($E92=0,"",IF(STIG_Metrics!O92=60,0,($E92/STIG_Metrics!O92)/24))</f>
        <v>0.51874999999999993</v>
      </c>
      <c r="AE92" s="148">
        <f>IF($E92=0,"",IF(STIG_Metrics!P92=60,0,($E92/STIG_Metrics!P92)/24))</f>
        <v>0.25625000000000003</v>
      </c>
      <c r="AF92" s="148">
        <f>IF($E92=0,"",IF(STIG_Metrics!Q92=60,0,($E92/STIG_Metrics!Q92)/24))</f>
        <v>8.7500000000000008E-2</v>
      </c>
      <c r="AG92" s="148">
        <f>IF($E92=0,"",$AD92-$AF92)</f>
        <v>0.43124999999999991</v>
      </c>
      <c r="AH92" s="148">
        <f>IF($E92=0,"",$AE92-$AF92)</f>
        <v>0.16875000000000001</v>
      </c>
      <c r="AI92" s="149">
        <f>IF($E92=0,"",$E92/STIG_Metrics!N92)</f>
        <v>12.45</v>
      </c>
      <c r="AJ92" s="149">
        <f>IF($E92=0,"",$E92/STIG_Metrics!O92)</f>
        <v>12.45</v>
      </c>
      <c r="AK92" s="149">
        <f>IF($E92=0,"",$E92/STIG_Metrics!P92)</f>
        <v>6.15</v>
      </c>
      <c r="AL92" s="149">
        <f>IF($E92=0,"",$E92/STIG_Metrics!Q92)</f>
        <v>2.1</v>
      </c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89"/>
      <c r="AY92" s="239"/>
      <c r="AZ92" s="110"/>
    </row>
    <row r="93" spans="2:52" ht="39.950000000000003" customHeight="1">
      <c r="B93" s="110"/>
      <c r="C93" s="90"/>
      <c r="D93" s="277" t="str">
        <f>(STIG_Metrics!A93)</f>
        <v>Microsoft Word 2013</v>
      </c>
      <c r="E93" s="218">
        <v>0</v>
      </c>
      <c r="F93" s="121"/>
      <c r="G93" s="118" t="str">
        <f t="shared" si="30"/>
        <v/>
      </c>
      <c r="H93" s="122" t="str">
        <f t="shared" si="39"/>
        <v/>
      </c>
      <c r="I93" s="123" t="str">
        <f t="shared" si="31"/>
        <v/>
      </c>
      <c r="J93" s="182" t="str">
        <f t="shared" si="40"/>
        <v/>
      </c>
      <c r="K93" s="187" t="str">
        <f>IF($E93=0,"",(STIG_Metrics!E93)*$E93)</f>
        <v/>
      </c>
      <c r="L93" s="31" t="str">
        <f>IF($E93=0,"",(STIG_Metrics!F93)*$E93)</f>
        <v/>
      </c>
      <c r="M93" s="47" t="str">
        <f>IF($E93=0,"",(STIG_Metrics!G93)*$E93)</f>
        <v/>
      </c>
      <c r="N93" s="31" t="str">
        <f>IF($E93=0,"",(STIG_Metrics!H93)*$E93)</f>
        <v/>
      </c>
      <c r="O93" s="31" t="str">
        <f>IF($E93=0,"",(STIG_Metrics!E93-STIG_Metrics!F93)*$E93)</f>
        <v/>
      </c>
      <c r="P93" s="47" t="str">
        <f>IF($E93=0,"",(STIG_Metrics!E93-STIG_Metrics!G93)*$E93)</f>
        <v/>
      </c>
      <c r="Q93" s="114" t="str">
        <f>IF($E93=0,"",(STIG_Metrics!E93-STIG_Metrics!H93)*$E93)</f>
        <v/>
      </c>
      <c r="R93" s="115" t="str">
        <f t="shared" si="32"/>
        <v/>
      </c>
      <c r="S93" s="32" t="str">
        <f t="shared" si="33"/>
        <v/>
      </c>
      <c r="T93" s="48" t="str">
        <f t="shared" si="34"/>
        <v/>
      </c>
      <c r="U93" s="237" t="str">
        <f t="shared" si="35"/>
        <v/>
      </c>
      <c r="V93" s="125" t="str">
        <f>IF($E93=0,"",STIG_Metrics!R93)</f>
        <v/>
      </c>
      <c r="W93" s="49" t="str">
        <f>IF($E93=0,"",STIG_Metrics!S93)</f>
        <v/>
      </c>
      <c r="X93" s="33" t="str">
        <f>IF($E93=0,"",STIG_Metrics!T93)</f>
        <v/>
      </c>
      <c r="Y93" s="34" t="str">
        <f t="shared" si="36"/>
        <v/>
      </c>
      <c r="Z93" s="34" t="str">
        <f t="shared" si="41"/>
        <v/>
      </c>
      <c r="AA93" s="50" t="str">
        <f t="shared" si="42"/>
        <v/>
      </c>
      <c r="AB93" s="34" t="str">
        <f t="shared" si="43"/>
        <v/>
      </c>
      <c r="AC93" s="207" t="str">
        <f>IF($E93=0,"",IF(STIG_Metrics!N93=60,0,($E93/STIG_Metrics!N93)/24))</f>
        <v/>
      </c>
      <c r="AD93" s="146" t="str">
        <f>IF($E93=0,"",IF(STIG_Metrics!O93=60,0,($E93/STIG_Metrics!O93)/24))</f>
        <v/>
      </c>
      <c r="AE93" s="146" t="str">
        <f>IF($E93=0,"",IF(STIG_Metrics!P93=60,0,($E93/STIG_Metrics!P93)/24))</f>
        <v/>
      </c>
      <c r="AF93" s="146" t="str">
        <f>IF($E93=0,"",IF(STIG_Metrics!Q93=60,0,($E93/STIG_Metrics!Q93)/24))</f>
        <v/>
      </c>
      <c r="AG93" s="146" t="str">
        <f t="shared" si="37"/>
        <v/>
      </c>
      <c r="AH93" s="146" t="str">
        <f t="shared" si="38"/>
        <v/>
      </c>
      <c r="AI93" s="147" t="str">
        <f>IF($E93=0,"",$E93/STIG_Metrics!N93)</f>
        <v/>
      </c>
      <c r="AJ93" s="147" t="str">
        <f>IF($E93=0,"",$E93/STIG_Metrics!O93)</f>
        <v/>
      </c>
      <c r="AK93" s="147" t="str">
        <f>IF($E93=0,"",$E93/STIG_Metrics!P93)</f>
        <v/>
      </c>
      <c r="AL93" s="147" t="str">
        <f>IF($E93=0,"",$E93/STIG_Metrics!Q93)</f>
        <v/>
      </c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89"/>
      <c r="AY93" s="239"/>
      <c r="AZ93" s="110"/>
    </row>
    <row r="94" spans="2:52" ht="39.950000000000003" customHeight="1">
      <c r="B94" s="110"/>
      <c r="C94" s="90"/>
      <c r="D94" s="277" t="str">
        <f>(STIG_Metrics!A94)</f>
        <v>Microsoft Word 2016</v>
      </c>
      <c r="E94" s="218">
        <v>7</v>
      </c>
      <c r="F94" s="121"/>
      <c r="G94" s="118">
        <f t="shared" si="30"/>
        <v>71.400000000000006</v>
      </c>
      <c r="H94" s="122">
        <f t="shared" si="39"/>
        <v>8996.4000000000015</v>
      </c>
      <c r="I94" s="123">
        <f t="shared" si="31"/>
        <v>71.400000000000006</v>
      </c>
      <c r="J94" s="182">
        <f t="shared" si="40"/>
        <v>8996.4000000000015</v>
      </c>
      <c r="K94" s="187">
        <f>IF($E94=0,"",(STIG_Metrics!E94)*$E94)</f>
        <v>238</v>
      </c>
      <c r="L94" s="31">
        <f>IF($E94=0,"",(STIG_Metrics!F94)*$E94)</f>
        <v>0</v>
      </c>
      <c r="M94" s="47">
        <f>IF($E94=0,"",(STIG_Metrics!G94)*$E94)</f>
        <v>0</v>
      </c>
      <c r="N94" s="31">
        <f>IF($E94=0,"",(STIG_Metrics!H94)*$E94)</f>
        <v>238</v>
      </c>
      <c r="O94" s="31">
        <f>IF($E94=0,"",(STIG_Metrics!E94-STIG_Metrics!F94)*$E94)</f>
        <v>238</v>
      </c>
      <c r="P94" s="47">
        <f>IF($E94=0,"",(STIG_Metrics!E94-STIG_Metrics!G94)*$E94)</f>
        <v>238</v>
      </c>
      <c r="Q94" s="114">
        <f>IF($E94=0,"",(STIG_Metrics!E94-STIG_Metrics!H94)*$E94)</f>
        <v>0</v>
      </c>
      <c r="R94" s="115" t="str">
        <f t="shared" si="32"/>
        <v>2 Days 1 Hrs</v>
      </c>
      <c r="S94" s="32" t="str">
        <f t="shared" si="33"/>
        <v>2 Days 1 Hrs</v>
      </c>
      <c r="T94" s="48" t="str">
        <f t="shared" si="34"/>
        <v>2 Days 1 Hrs</v>
      </c>
      <c r="U94" s="237" t="str">
        <f t="shared" si="35"/>
        <v>0 Days 0 Hrs</v>
      </c>
      <c r="V94" s="125">
        <f>IF($E94=0,"",STIG_Metrics!R94)</f>
        <v>0</v>
      </c>
      <c r="W94" s="49">
        <f>IF($E94=0,"",STIG_Metrics!S94)</f>
        <v>0</v>
      </c>
      <c r="X94" s="33">
        <f>IF($E94=0,"",STIG_Metrics!T94)</f>
        <v>152</v>
      </c>
      <c r="Y94" s="34">
        <f t="shared" si="36"/>
        <v>2249.1000000000004</v>
      </c>
      <c r="Z94" s="34">
        <f t="shared" si="41"/>
        <v>2249.1000000000004</v>
      </c>
      <c r="AA94" s="50">
        <f t="shared" si="42"/>
        <v>2249.1000000000004</v>
      </c>
      <c r="AB94" s="34">
        <f t="shared" si="43"/>
        <v>0</v>
      </c>
      <c r="AC94" s="208">
        <f>IF($E94=0,"",IF(STIG_Metrics!N94=60,0,($E94/STIG_Metrics!N94)/24))</f>
        <v>0.74375000000000002</v>
      </c>
      <c r="AD94" s="148">
        <f>IF($E94=0,"",IF(STIG_Metrics!O94=60,0,($E94/STIG_Metrics!O94)/24))</f>
        <v>0.74375000000000002</v>
      </c>
      <c r="AE94" s="146">
        <f>IF($E94=0,"",IF(STIG_Metrics!P94=60,0,($E94/STIG_Metrics!P94)/24))</f>
        <v>0.74375000000000002</v>
      </c>
      <c r="AF94" s="148">
        <f>IF($E94=0,"",IF(STIG_Metrics!Q94=60,0,($E94/STIG_Metrics!Q94)/24))</f>
        <v>0</v>
      </c>
      <c r="AG94" s="148">
        <f t="shared" si="37"/>
        <v>0.74375000000000002</v>
      </c>
      <c r="AH94" s="146">
        <f t="shared" si="38"/>
        <v>0.74375000000000002</v>
      </c>
      <c r="AI94" s="149">
        <f>IF($E94=0,"",$E94/STIG_Metrics!N94)</f>
        <v>17.850000000000001</v>
      </c>
      <c r="AJ94" s="149">
        <f>IF($E94=0,"",$E94/STIG_Metrics!O94)</f>
        <v>17.850000000000001</v>
      </c>
      <c r="AK94" s="147">
        <f>IF($E94=0,"",$E94/STIG_Metrics!P94)</f>
        <v>17.850000000000001</v>
      </c>
      <c r="AL94" s="149">
        <f>IF($E94=0,"",$E94/STIG_Metrics!Q94)</f>
        <v>0.11666666666666667</v>
      </c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89"/>
      <c r="AY94" s="239"/>
      <c r="AZ94" s="110"/>
    </row>
    <row r="95" spans="2:52" ht="39.950000000000003" customHeight="1">
      <c r="B95" s="110"/>
      <c r="C95" s="90"/>
      <c r="D95" s="277" t="str">
        <f>(STIG_Metrics!A95)</f>
        <v>MongoDB Enterprise Advanced 3.x</v>
      </c>
      <c r="E95" s="218">
        <v>0</v>
      </c>
      <c r="F95" s="121"/>
      <c r="G95" s="118" t="str">
        <f t="shared" si="30"/>
        <v/>
      </c>
      <c r="H95" s="122" t="str">
        <f t="shared" si="39"/>
        <v/>
      </c>
      <c r="I95" s="123" t="str">
        <f t="shared" si="31"/>
        <v/>
      </c>
      <c r="J95" s="182" t="str">
        <f t="shared" si="40"/>
        <v/>
      </c>
      <c r="K95" s="187" t="str">
        <f>IF($E95=0,"",(STIG_Metrics!E95)*$E95)</f>
        <v/>
      </c>
      <c r="L95" s="31" t="str">
        <f>IF($E95=0,"",(STIG_Metrics!F95)*$E95)</f>
        <v/>
      </c>
      <c r="M95" s="47" t="str">
        <f>IF($E95=0,"",(STIG_Metrics!G95)*$E95)</f>
        <v/>
      </c>
      <c r="N95" s="31" t="str">
        <f>IF($E95=0,"",(STIG_Metrics!H95)*$E95)</f>
        <v/>
      </c>
      <c r="O95" s="31" t="str">
        <f>IF($E95=0,"",(STIG_Metrics!E95-STIG_Metrics!F95)*$E95)</f>
        <v/>
      </c>
      <c r="P95" s="47" t="str">
        <f>IF($E95=0,"",(STIG_Metrics!E95-STIG_Metrics!G95)*$E95)</f>
        <v/>
      </c>
      <c r="Q95" s="114" t="str">
        <f>IF($E95=0,"",(STIG_Metrics!E95-STIG_Metrics!H95)*$E95)</f>
        <v/>
      </c>
      <c r="R95" s="115" t="str">
        <f t="shared" si="32"/>
        <v/>
      </c>
      <c r="S95" s="32" t="str">
        <f t="shared" si="33"/>
        <v/>
      </c>
      <c r="T95" s="48" t="str">
        <f t="shared" si="34"/>
        <v/>
      </c>
      <c r="U95" s="237" t="str">
        <f t="shared" si="35"/>
        <v/>
      </c>
      <c r="V95" s="125" t="str">
        <f>IF($E95=0,"",STIG_Metrics!R95)</f>
        <v/>
      </c>
      <c r="W95" s="49" t="str">
        <f>IF($E95=0,"",STIG_Metrics!S95)</f>
        <v/>
      </c>
      <c r="X95" s="33" t="str">
        <f>IF($E95=0,"",STIG_Metrics!T95)</f>
        <v/>
      </c>
      <c r="Y95" s="34" t="str">
        <f t="shared" si="36"/>
        <v/>
      </c>
      <c r="Z95" s="34" t="str">
        <f t="shared" si="41"/>
        <v/>
      </c>
      <c r="AA95" s="50" t="str">
        <f t="shared" si="42"/>
        <v/>
      </c>
      <c r="AB95" s="34" t="str">
        <f t="shared" si="43"/>
        <v/>
      </c>
      <c r="AC95" s="207" t="str">
        <f>IF($E95=0,"",IF(STIG_Metrics!N95=60,0,($E95/STIG_Metrics!N95)/24))</f>
        <v/>
      </c>
      <c r="AD95" s="146" t="str">
        <f>IF($E95=0,"",IF(STIG_Metrics!O95=60,0,($E95/STIG_Metrics!O95)/24))</f>
        <v/>
      </c>
      <c r="AE95" s="146" t="str">
        <f>IF($E95=0,"",IF(STIG_Metrics!P95=60,0,($E95/STIG_Metrics!P95)/24))</f>
        <v/>
      </c>
      <c r="AF95" s="146" t="str">
        <f>IF($E95=0,"",IF(STIG_Metrics!Q95=60,0,($E95/STIG_Metrics!Q95)/24))</f>
        <v/>
      </c>
      <c r="AG95" s="146" t="str">
        <f t="shared" si="37"/>
        <v/>
      </c>
      <c r="AH95" s="146" t="str">
        <f t="shared" si="38"/>
        <v/>
      </c>
      <c r="AI95" s="147" t="str">
        <f>IF($E95=0,"",$E95/STIG_Metrics!N95)</f>
        <v/>
      </c>
      <c r="AJ95" s="147" t="str">
        <f>IF($E95=0,"",$E95/STIG_Metrics!O95)</f>
        <v/>
      </c>
      <c r="AK95" s="147" t="str">
        <f>IF($E95=0,"",$E95/STIG_Metrics!P95)</f>
        <v/>
      </c>
      <c r="AL95" s="147" t="str">
        <f>IF($E95=0,"",$E95/STIG_Metrics!Q95)</f>
        <v/>
      </c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89"/>
      <c r="AY95" s="239"/>
      <c r="AZ95" s="110"/>
    </row>
    <row r="96" spans="2:52" ht="39.950000000000003" customHeight="1">
      <c r="B96" s="110"/>
      <c r="C96" s="90"/>
      <c r="D96" s="277" t="str">
        <f>(STIG_Metrics!A96)</f>
        <v>Mozilla Firefox</v>
      </c>
      <c r="E96" s="218">
        <v>807</v>
      </c>
      <c r="F96" s="121"/>
      <c r="G96" s="118">
        <f t="shared" si="30"/>
        <v>2420.9999999999995</v>
      </c>
      <c r="H96" s="122">
        <f t="shared" si="39"/>
        <v>305045.99999999994</v>
      </c>
      <c r="I96" s="123">
        <f t="shared" si="31"/>
        <v>0</v>
      </c>
      <c r="J96" s="182">
        <f t="shared" si="40"/>
        <v>0</v>
      </c>
      <c r="K96" s="187">
        <f>IF($E96=0,"",(STIG_Metrics!E96)*$E96)</f>
        <v>27438</v>
      </c>
      <c r="L96" s="31">
        <f>IF($E96=0,"",(STIG_Metrics!F96)*$E96)</f>
        <v>18561</v>
      </c>
      <c r="M96" s="47">
        <f>IF($E96=0,"",(STIG_Metrics!G96)*$E96)</f>
        <v>26631</v>
      </c>
      <c r="N96" s="31">
        <f>IF($E96=0,"",(STIG_Metrics!H96)*$E96)</f>
        <v>26631</v>
      </c>
      <c r="O96" s="31">
        <f>IF($E96=0,"",(STIG_Metrics!E96-STIG_Metrics!F96)*$E96)</f>
        <v>8877</v>
      </c>
      <c r="P96" s="47">
        <f>IF($E96=0,"",(STIG_Metrics!E96-STIG_Metrics!G96)*$E96)</f>
        <v>807</v>
      </c>
      <c r="Q96" s="114">
        <f>IF($E96=0,"",(STIG_Metrics!E96-STIG_Metrics!H96)*$E96)</f>
        <v>807</v>
      </c>
      <c r="R96" s="115" t="str">
        <f t="shared" si="32"/>
        <v>257 Days 1 Hrs</v>
      </c>
      <c r="S96" s="32" t="str">
        <f t="shared" si="33"/>
        <v>83 Days 1 Hrs</v>
      </c>
      <c r="T96" s="48" t="str">
        <f t="shared" si="34"/>
        <v>7 Days 4 Hrs</v>
      </c>
      <c r="U96" s="237" t="str">
        <f t="shared" si="35"/>
        <v>7 Days 4 Hrs</v>
      </c>
      <c r="V96" s="125">
        <f>IF($E96=0,"",STIG_Metrics!R96)</f>
        <v>2.0909090909090913</v>
      </c>
      <c r="W96" s="49">
        <f>IF($E96=0,"",STIG_Metrics!S96)</f>
        <v>33</v>
      </c>
      <c r="X96" s="33">
        <f>IF($E96=0,"",STIG_Metrics!T96)</f>
        <v>33</v>
      </c>
      <c r="Y96" s="34">
        <f t="shared" si="36"/>
        <v>259289.09999999998</v>
      </c>
      <c r="Z96" s="34">
        <f t="shared" si="41"/>
        <v>83887.65</v>
      </c>
      <c r="AA96" s="50">
        <f t="shared" si="42"/>
        <v>7626.15</v>
      </c>
      <c r="AB96" s="34">
        <f t="shared" si="43"/>
        <v>7626.15</v>
      </c>
      <c r="AC96" s="207">
        <f>IF($E96=0,"",IF(STIG_Metrics!N96=60,0,($E96/STIG_Metrics!N96)/24))</f>
        <v>85.743749999999991</v>
      </c>
      <c r="AD96" s="146">
        <f>IF($E96=0,"",IF(STIG_Metrics!O96=60,0,($E96/STIG_Metrics!O96)/24))</f>
        <v>27.740624999999998</v>
      </c>
      <c r="AE96" s="146">
        <f>IF($E96=0,"",IF(STIG_Metrics!P96=60,0,($E96/STIG_Metrics!P96)/24))</f>
        <v>2.5218750000000001</v>
      </c>
      <c r="AF96" s="146">
        <f>IF($E96=0,"",IF(STIG_Metrics!Q96=60,0,($E96/STIG_Metrics!Q96)/24))</f>
        <v>2.5218750000000001</v>
      </c>
      <c r="AG96" s="146">
        <f t="shared" si="37"/>
        <v>25.218749999999996</v>
      </c>
      <c r="AH96" s="146">
        <f t="shared" si="38"/>
        <v>0</v>
      </c>
      <c r="AI96" s="147">
        <f>IF($E96=0,"",$E96/STIG_Metrics!N96)</f>
        <v>2057.85</v>
      </c>
      <c r="AJ96" s="147">
        <f>IF($E96=0,"",$E96/STIG_Metrics!O96)</f>
        <v>665.77499999999998</v>
      </c>
      <c r="AK96" s="147">
        <f>IF($E96=0,"",$E96/STIG_Metrics!P96)</f>
        <v>60.524999999999999</v>
      </c>
      <c r="AL96" s="147">
        <f>IF($E96=0,"",$E96/STIG_Metrics!Q96)</f>
        <v>60.524999999999999</v>
      </c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89"/>
      <c r="AY96" s="239"/>
      <c r="AZ96" s="110"/>
    </row>
    <row r="97" spans="2:52" ht="39.950000000000003" customHeight="1">
      <c r="B97" s="110"/>
      <c r="C97" s="90"/>
      <c r="D97" s="277" t="str">
        <f>(STIG_Metrics!A97)</f>
        <v>MS SharePoint Designer 2013</v>
      </c>
      <c r="E97" s="218">
        <v>0</v>
      </c>
      <c r="F97" s="121"/>
      <c r="G97" s="118" t="str">
        <f t="shared" si="30"/>
        <v/>
      </c>
      <c r="H97" s="122" t="str">
        <f t="shared" si="39"/>
        <v/>
      </c>
      <c r="I97" s="123" t="str">
        <f t="shared" si="31"/>
        <v/>
      </c>
      <c r="J97" s="182" t="str">
        <f t="shared" si="40"/>
        <v/>
      </c>
      <c r="K97" s="187" t="str">
        <f>IF($E97=0,"",(STIG_Metrics!E97)*$E97)</f>
        <v/>
      </c>
      <c r="L97" s="31" t="str">
        <f>IF($E97=0,"",(STIG_Metrics!F97)*$E97)</f>
        <v/>
      </c>
      <c r="M97" s="47" t="str">
        <f>IF($E97=0,"",(STIG_Metrics!G97)*$E97)</f>
        <v/>
      </c>
      <c r="N97" s="31" t="str">
        <f>IF($E97=0,"",(STIG_Metrics!H97)*$E97)</f>
        <v/>
      </c>
      <c r="O97" s="31" t="str">
        <f>IF($E97=0,"",(STIG_Metrics!E97-STIG_Metrics!F97)*$E97)</f>
        <v/>
      </c>
      <c r="P97" s="47" t="str">
        <f>IF($E97=0,"",(STIG_Metrics!E97-STIG_Metrics!G97)*$E97)</f>
        <v/>
      </c>
      <c r="Q97" s="114" t="str">
        <f>IF($E97=0,"",(STIG_Metrics!E97-STIG_Metrics!H97)*$E97)</f>
        <v/>
      </c>
      <c r="R97" s="115" t="str">
        <f t="shared" si="32"/>
        <v/>
      </c>
      <c r="S97" s="32" t="str">
        <f t="shared" si="33"/>
        <v/>
      </c>
      <c r="T97" s="48" t="str">
        <f t="shared" si="34"/>
        <v/>
      </c>
      <c r="U97" s="237" t="str">
        <f t="shared" si="35"/>
        <v/>
      </c>
      <c r="V97" s="125" t="str">
        <f>IF($E97=0,"",STIG_Metrics!R97)</f>
        <v/>
      </c>
      <c r="W97" s="49" t="str">
        <f>IF($E97=0,"",STIG_Metrics!S97)</f>
        <v/>
      </c>
      <c r="X97" s="33" t="str">
        <f>IF($E97=0,"",STIG_Metrics!T97)</f>
        <v/>
      </c>
      <c r="Y97" s="34" t="str">
        <f t="shared" si="36"/>
        <v/>
      </c>
      <c r="Z97" s="34" t="str">
        <f t="shared" si="41"/>
        <v/>
      </c>
      <c r="AA97" s="50" t="str">
        <f t="shared" si="42"/>
        <v/>
      </c>
      <c r="AB97" s="34" t="str">
        <f t="shared" si="43"/>
        <v/>
      </c>
      <c r="AC97" s="208" t="str">
        <f>IF($E97=0,"",IF(STIG_Metrics!N97=60,0,($E97/STIG_Metrics!N97)/24))</f>
        <v/>
      </c>
      <c r="AD97" s="148" t="str">
        <f>IF($E97=0,"",IF(STIG_Metrics!O97=60,0,($E97/STIG_Metrics!O97)/24))</f>
        <v/>
      </c>
      <c r="AE97" s="146" t="str">
        <f>IF($E97=0,"",IF(STIG_Metrics!P97=60,0,($E97/STIG_Metrics!P97)/24))</f>
        <v/>
      </c>
      <c r="AF97" s="148" t="str">
        <f>IF($E97=0,"",IF(STIG_Metrics!Q97=60,0,($E97/STIG_Metrics!Q97)/24))</f>
        <v/>
      </c>
      <c r="AG97" s="148" t="str">
        <f t="shared" si="37"/>
        <v/>
      </c>
      <c r="AH97" s="146" t="str">
        <f t="shared" si="38"/>
        <v/>
      </c>
      <c r="AI97" s="149" t="str">
        <f>IF($E97=0,"",$E97/STIG_Metrics!N97)</f>
        <v/>
      </c>
      <c r="AJ97" s="149" t="str">
        <f>IF($E97=0,"",$E97/STIG_Metrics!O97)</f>
        <v/>
      </c>
      <c r="AK97" s="147" t="str">
        <f>IF($E97=0,"",$E97/STIG_Metrics!P97)</f>
        <v/>
      </c>
      <c r="AL97" s="149" t="str">
        <f>IF($E97=0,"",$E97/STIG_Metrics!Q97)</f>
        <v/>
      </c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89"/>
      <c r="AY97" s="239"/>
      <c r="AZ97" s="110"/>
    </row>
    <row r="98" spans="2:52" ht="39.950000000000003" customHeight="1">
      <c r="B98" s="110"/>
      <c r="C98" s="90"/>
      <c r="D98" s="277" t="str">
        <f>(STIG_Metrics!A98)</f>
        <v>MS SQL Server 2014 Database</v>
      </c>
      <c r="E98" s="218">
        <v>0</v>
      </c>
      <c r="F98" s="121"/>
      <c r="G98" s="118" t="str">
        <f t="shared" si="30"/>
        <v/>
      </c>
      <c r="H98" s="122" t="str">
        <f t="shared" si="39"/>
        <v/>
      </c>
      <c r="I98" s="123" t="str">
        <f t="shared" si="31"/>
        <v/>
      </c>
      <c r="J98" s="182" t="str">
        <f t="shared" si="40"/>
        <v/>
      </c>
      <c r="K98" s="187" t="str">
        <f>IF($E98=0,"",(STIG_Metrics!E98)*$E98)</f>
        <v/>
      </c>
      <c r="L98" s="31" t="str">
        <f>IF($E98=0,"",(STIG_Metrics!F98)*$E98)</f>
        <v/>
      </c>
      <c r="M98" s="47" t="str">
        <f>IF($E98=0,"",(STIG_Metrics!G98)*$E98)</f>
        <v/>
      </c>
      <c r="N98" s="31" t="str">
        <f>IF($E98=0,"",(STIG_Metrics!H98)*$E98)</f>
        <v/>
      </c>
      <c r="O98" s="31" t="str">
        <f>IF($E98=0,"",(STIG_Metrics!E98-STIG_Metrics!F98)*$E98)</f>
        <v/>
      </c>
      <c r="P98" s="47" t="str">
        <f>IF($E98=0,"",(STIG_Metrics!E98-STIG_Metrics!G98)*$E98)</f>
        <v/>
      </c>
      <c r="Q98" s="114" t="str">
        <f>IF($E98=0,"",(STIG_Metrics!E98-STIG_Metrics!H98)*$E98)</f>
        <v/>
      </c>
      <c r="R98" s="115" t="str">
        <f t="shared" si="32"/>
        <v/>
      </c>
      <c r="S98" s="32" t="str">
        <f t="shared" si="33"/>
        <v/>
      </c>
      <c r="T98" s="48" t="str">
        <f t="shared" si="34"/>
        <v/>
      </c>
      <c r="U98" s="237" t="str">
        <f t="shared" si="35"/>
        <v/>
      </c>
      <c r="V98" s="125" t="str">
        <f>IF($E98=0,"",STIG_Metrics!R98)</f>
        <v/>
      </c>
      <c r="W98" s="49" t="str">
        <f>IF($E98=0,"",STIG_Metrics!S98)</f>
        <v/>
      </c>
      <c r="X98" s="33" t="str">
        <f>IF($E98=0,"",STIG_Metrics!T98)</f>
        <v/>
      </c>
      <c r="Y98" s="34" t="str">
        <f t="shared" si="36"/>
        <v/>
      </c>
      <c r="Z98" s="34" t="str">
        <f t="shared" si="41"/>
        <v/>
      </c>
      <c r="AA98" s="50" t="str">
        <f t="shared" si="42"/>
        <v/>
      </c>
      <c r="AB98" s="34" t="str">
        <f t="shared" si="43"/>
        <v/>
      </c>
      <c r="AC98" s="208" t="str">
        <f>IF($E98=0,"",IF(STIG_Metrics!N98=60,0,($E98/STIG_Metrics!N98)/24))</f>
        <v/>
      </c>
      <c r="AD98" s="148" t="str">
        <f>IF($E98=0,"",IF(STIG_Metrics!O98=60,0,($E98/STIG_Metrics!O98)/24))</f>
        <v/>
      </c>
      <c r="AE98" s="146" t="str">
        <f>IF($E98=0,"",IF(STIG_Metrics!P98=60,0,($E98/STIG_Metrics!P98)/24))</f>
        <v/>
      </c>
      <c r="AF98" s="148" t="str">
        <f>IF($E98=0,"",IF(STIG_Metrics!Q98=60,0,($E98/STIG_Metrics!Q98)/24))</f>
        <v/>
      </c>
      <c r="AG98" s="148" t="str">
        <f t="shared" si="37"/>
        <v/>
      </c>
      <c r="AH98" s="146" t="str">
        <f t="shared" si="38"/>
        <v/>
      </c>
      <c r="AI98" s="149" t="str">
        <f>IF($E98=0,"",$E98/STIG_Metrics!N98)</f>
        <v/>
      </c>
      <c r="AJ98" s="149" t="str">
        <f>IF($E98=0,"",$E98/STIG_Metrics!O98)</f>
        <v/>
      </c>
      <c r="AK98" s="147" t="str">
        <f>IF($E98=0,"",$E98/STIG_Metrics!P98)</f>
        <v/>
      </c>
      <c r="AL98" s="149" t="str">
        <f>IF($E98=0,"",$E98/STIG_Metrics!Q98)</f>
        <v/>
      </c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89"/>
      <c r="AY98" s="239"/>
      <c r="AZ98" s="110"/>
    </row>
    <row r="99" spans="2:52" ht="39.950000000000003" customHeight="1">
      <c r="B99" s="110"/>
      <c r="C99" s="90"/>
      <c r="D99" s="277" t="str">
        <f>(STIG_Metrics!A99)</f>
        <v>MS SQL Server 2014 Instance</v>
      </c>
      <c r="E99" s="218">
        <v>0</v>
      </c>
      <c r="F99" s="121"/>
      <c r="G99" s="118" t="str">
        <f t="shared" si="30"/>
        <v/>
      </c>
      <c r="H99" s="122" t="str">
        <f t="shared" si="39"/>
        <v/>
      </c>
      <c r="I99" s="123" t="str">
        <f t="shared" si="31"/>
        <v/>
      </c>
      <c r="J99" s="182" t="str">
        <f t="shared" si="40"/>
        <v/>
      </c>
      <c r="K99" s="187" t="str">
        <f>IF($E99=0,"",(STIG_Metrics!E99)*$E99)</f>
        <v/>
      </c>
      <c r="L99" s="31" t="str">
        <f>IF($E99=0,"",(STIG_Metrics!F99)*$E99)</f>
        <v/>
      </c>
      <c r="M99" s="47" t="str">
        <f>IF($E99=0,"",(STIG_Metrics!G99)*$E99)</f>
        <v/>
      </c>
      <c r="N99" s="31" t="str">
        <f>IF($E99=0,"",(STIG_Metrics!H99)*$E99)</f>
        <v/>
      </c>
      <c r="O99" s="31" t="str">
        <f>IF($E99=0,"",(STIG_Metrics!E99-STIG_Metrics!F99)*$E99)</f>
        <v/>
      </c>
      <c r="P99" s="47" t="str">
        <f>IF($E99=0,"",(STIG_Metrics!E99-STIG_Metrics!G99)*$E99)</f>
        <v/>
      </c>
      <c r="Q99" s="114" t="str">
        <f>IF($E99=0,"",(STIG_Metrics!E99-STIG_Metrics!H99)*$E99)</f>
        <v/>
      </c>
      <c r="R99" s="115" t="str">
        <f t="shared" si="32"/>
        <v/>
      </c>
      <c r="S99" s="32" t="str">
        <f t="shared" si="33"/>
        <v/>
      </c>
      <c r="T99" s="48" t="str">
        <f t="shared" si="34"/>
        <v/>
      </c>
      <c r="U99" s="237" t="str">
        <f t="shared" si="35"/>
        <v/>
      </c>
      <c r="V99" s="125" t="str">
        <f>IF($E99=0,"",STIG_Metrics!R99)</f>
        <v/>
      </c>
      <c r="W99" s="49" t="str">
        <f>IF($E99=0,"",STIG_Metrics!S99)</f>
        <v/>
      </c>
      <c r="X99" s="33" t="str">
        <f>IF($E99=0,"",STIG_Metrics!T99)</f>
        <v/>
      </c>
      <c r="Y99" s="34" t="str">
        <f t="shared" si="36"/>
        <v/>
      </c>
      <c r="Z99" s="34" t="str">
        <f t="shared" si="41"/>
        <v/>
      </c>
      <c r="AA99" s="50" t="str">
        <f t="shared" si="42"/>
        <v/>
      </c>
      <c r="AB99" s="34" t="str">
        <f t="shared" si="43"/>
        <v/>
      </c>
      <c r="AC99" s="207" t="str">
        <f>IF($E99=0,"",IF(STIG_Metrics!N99=60,0,($E99/STIG_Metrics!N99)/24))</f>
        <v/>
      </c>
      <c r="AD99" s="146" t="str">
        <f>IF($E99=0,"",IF(STIG_Metrics!O99=60,0,($E99/STIG_Metrics!O99)/24))</f>
        <v/>
      </c>
      <c r="AE99" s="146" t="str">
        <f>IF($E99=0,"",IF(STIG_Metrics!P99=60,0,($E99/STIG_Metrics!P99)/24))</f>
        <v/>
      </c>
      <c r="AF99" s="146" t="str">
        <f>IF($E99=0,"",IF(STIG_Metrics!Q99=60,0,($E99/STIG_Metrics!Q99)/24))</f>
        <v/>
      </c>
      <c r="AG99" s="146" t="str">
        <f t="shared" si="37"/>
        <v/>
      </c>
      <c r="AH99" s="146" t="str">
        <f t="shared" si="38"/>
        <v/>
      </c>
      <c r="AI99" s="147" t="str">
        <f>IF($E99=0,"",$E99/STIG_Metrics!N99)</f>
        <v/>
      </c>
      <c r="AJ99" s="147" t="str">
        <f>IF($E99=0,"",$E99/STIG_Metrics!O99)</f>
        <v/>
      </c>
      <c r="AK99" s="147" t="str">
        <f>IF($E99=0,"",$E99/STIG_Metrics!P99)</f>
        <v/>
      </c>
      <c r="AL99" s="147" t="str">
        <f>IF($E99=0,"",$E99/STIG_Metrics!Q99)</f>
        <v/>
      </c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89"/>
      <c r="AY99" s="239"/>
      <c r="AZ99" s="110"/>
    </row>
    <row r="100" spans="2:52" ht="39.950000000000003" customHeight="1">
      <c r="B100" s="110"/>
      <c r="C100" s="90"/>
      <c r="D100" s="277" t="str">
        <f>(STIG_Metrics!A100)</f>
        <v>MS SQL Server 2016 Database</v>
      </c>
      <c r="E100" s="218">
        <v>380</v>
      </c>
      <c r="F100" s="121"/>
      <c r="G100" s="118">
        <f t="shared" si="30"/>
        <v>2166</v>
      </c>
      <c r="H100" s="122">
        <f t="shared" si="39"/>
        <v>272916</v>
      </c>
      <c r="I100" s="123">
        <f t="shared" si="31"/>
        <v>1938.0000000000005</v>
      </c>
      <c r="J100" s="182">
        <f t="shared" si="40"/>
        <v>244188.00000000006</v>
      </c>
      <c r="K100" s="187">
        <f>IF($E100=0,"",(STIG_Metrics!E100)*$E100)</f>
        <v>10640</v>
      </c>
      <c r="L100" s="31">
        <f>IF($E100=0,"",(STIG_Metrics!F100)*$E100)</f>
        <v>0</v>
      </c>
      <c r="M100" s="47">
        <f>IF($E100=0,"",(STIG_Metrics!G100)*$E100)</f>
        <v>760</v>
      </c>
      <c r="N100" s="31">
        <f>IF($E100=0,"",(STIG_Metrics!H100)*$E100)</f>
        <v>7220</v>
      </c>
      <c r="O100" s="31">
        <f>IF($E100=0,"",(STIG_Metrics!E100-STIG_Metrics!F100)*$E100)</f>
        <v>10640</v>
      </c>
      <c r="P100" s="47">
        <f>IF($E100=0,"",(STIG_Metrics!E100-STIG_Metrics!G100)*$E100)</f>
        <v>9880</v>
      </c>
      <c r="Q100" s="114">
        <f>IF($E100=0,"",(STIG_Metrics!E100-STIG_Metrics!H100)*$E100)</f>
        <v>3420</v>
      </c>
      <c r="R100" s="115" t="str">
        <f t="shared" si="32"/>
        <v>99 Days 6 Hrs</v>
      </c>
      <c r="S100" s="32" t="str">
        <f t="shared" si="33"/>
        <v>99 Days 6 Hrs</v>
      </c>
      <c r="T100" s="48" t="str">
        <f t="shared" si="34"/>
        <v>92 Days 5 Hrs</v>
      </c>
      <c r="U100" s="237" t="str">
        <f t="shared" si="35"/>
        <v>32 Days 0 Hrs</v>
      </c>
      <c r="V100" s="125">
        <f>IF($E100=0,"",STIG_Metrics!R100)</f>
        <v>0</v>
      </c>
      <c r="W100" s="49">
        <f>IF($E100=0,"",STIG_Metrics!S100)</f>
        <v>7.6923076923076886E-2</v>
      </c>
      <c r="X100" s="33">
        <f>IF($E100=0,"",STIG_Metrics!T100)</f>
        <v>2.1111111111111107</v>
      </c>
      <c r="Y100" s="34">
        <f t="shared" si="36"/>
        <v>100548</v>
      </c>
      <c r="Z100" s="34">
        <f t="shared" si="41"/>
        <v>100548</v>
      </c>
      <c r="AA100" s="50">
        <f t="shared" si="42"/>
        <v>93366</v>
      </c>
      <c r="AB100" s="34">
        <f t="shared" si="43"/>
        <v>32319</v>
      </c>
      <c r="AC100" s="207">
        <f>IF($E100=0,"",IF(STIG_Metrics!N100=60,0,($E100/STIG_Metrics!N100)/24))</f>
        <v>33.25</v>
      </c>
      <c r="AD100" s="146">
        <f>IF($E100=0,"",IF(STIG_Metrics!O100=60,0,($E100/STIG_Metrics!O100)/24))</f>
        <v>33.25</v>
      </c>
      <c r="AE100" s="146">
        <f>IF($E100=0,"",IF(STIG_Metrics!P100=60,0,($E100/STIG_Metrics!P100)/24))</f>
        <v>30.875000000000004</v>
      </c>
      <c r="AF100" s="146">
        <f>IF($E100=0,"",IF(STIG_Metrics!Q100=60,0,($E100/STIG_Metrics!Q100)/24))</f>
        <v>10.6875</v>
      </c>
      <c r="AG100" s="146">
        <f t="shared" si="37"/>
        <v>22.5625</v>
      </c>
      <c r="AH100" s="146">
        <f t="shared" si="38"/>
        <v>20.187500000000004</v>
      </c>
      <c r="AI100" s="147">
        <f>IF($E100=0,"",$E100/STIG_Metrics!N100)</f>
        <v>798</v>
      </c>
      <c r="AJ100" s="147">
        <f>IF($E100=0,"",$E100/STIG_Metrics!O100)</f>
        <v>798</v>
      </c>
      <c r="AK100" s="147">
        <f>IF($E100=0,"",$E100/STIG_Metrics!P100)</f>
        <v>741.00000000000011</v>
      </c>
      <c r="AL100" s="147">
        <f>IF($E100=0,"",$E100/STIG_Metrics!Q100)</f>
        <v>256.5</v>
      </c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89"/>
      <c r="AY100" s="239"/>
      <c r="AZ100" s="110"/>
    </row>
    <row r="101" spans="2:52" ht="39.950000000000003" customHeight="1">
      <c r="B101" s="110"/>
      <c r="C101" s="90"/>
      <c r="D101" s="277" t="str">
        <f>(STIG_Metrics!A101)</f>
        <v>MS SQL Server 2016 Instance</v>
      </c>
      <c r="E101" s="218">
        <v>32</v>
      </c>
      <c r="F101" s="121"/>
      <c r="G101" s="118">
        <f t="shared" si="30"/>
        <v>758.4000000000002</v>
      </c>
      <c r="H101" s="122">
        <f t="shared" si="39"/>
        <v>95558.400000000023</v>
      </c>
      <c r="I101" s="123">
        <f t="shared" si="31"/>
        <v>220.8</v>
      </c>
      <c r="J101" s="182">
        <f t="shared" si="40"/>
        <v>27820.800000000003</v>
      </c>
      <c r="K101" s="187">
        <f>IF($E101=0,"",(STIG_Metrics!E101)*$E101)</f>
        <v>3232</v>
      </c>
      <c r="L101" s="31">
        <f>IF($E101=0,"",(STIG_Metrics!F101)*$E101)</f>
        <v>0</v>
      </c>
      <c r="M101" s="47">
        <f>IF($E101=0,"",(STIG_Metrics!G101)*$E101)</f>
        <v>1792</v>
      </c>
      <c r="N101" s="31">
        <f>IF($E101=0,"",(STIG_Metrics!H101)*$E101)</f>
        <v>2528</v>
      </c>
      <c r="O101" s="31">
        <f>IF($E101=0,"",(STIG_Metrics!E101-STIG_Metrics!F101)*$E101)</f>
        <v>3232</v>
      </c>
      <c r="P101" s="47">
        <f>IF($E101=0,"",(STIG_Metrics!E101-STIG_Metrics!G101)*$E101)</f>
        <v>1440</v>
      </c>
      <c r="Q101" s="114">
        <f>IF($E101=0,"",(STIG_Metrics!E101-STIG_Metrics!H101)*$E101)</f>
        <v>704</v>
      </c>
      <c r="R101" s="115" t="str">
        <f t="shared" si="32"/>
        <v>30 Days 2 Hrs</v>
      </c>
      <c r="S101" s="32" t="str">
        <f t="shared" si="33"/>
        <v>30 Days 2 Hrs</v>
      </c>
      <c r="T101" s="48" t="str">
        <f t="shared" si="34"/>
        <v>13 Days 4 Hrs</v>
      </c>
      <c r="U101" s="237" t="str">
        <f t="shared" si="35"/>
        <v>6 Days 4 Hrs</v>
      </c>
      <c r="V101" s="125">
        <f>IF($E101=0,"",STIG_Metrics!R101)</f>
        <v>0</v>
      </c>
      <c r="W101" s="49">
        <f>IF($E101=0,"",STIG_Metrics!S101)</f>
        <v>1.2444444444444445</v>
      </c>
      <c r="X101" s="33">
        <f>IF($E101=0,"",STIG_Metrics!T101)</f>
        <v>3.5909090909090913</v>
      </c>
      <c r="Y101" s="34">
        <f t="shared" si="36"/>
        <v>30542.400000000001</v>
      </c>
      <c r="Z101" s="34">
        <f t="shared" si="41"/>
        <v>30542.400000000001</v>
      </c>
      <c r="AA101" s="50">
        <f t="shared" si="42"/>
        <v>13608</v>
      </c>
      <c r="AB101" s="34">
        <f t="shared" si="43"/>
        <v>6652.7999999999993</v>
      </c>
      <c r="AC101" s="208">
        <f>IF($E101=0,"",IF(STIG_Metrics!N101=60,0,($E101/STIG_Metrics!N101)/24))</f>
        <v>10.100000000000001</v>
      </c>
      <c r="AD101" s="148">
        <f>IF($E101=0,"",IF(STIG_Metrics!O101=60,0,($E101/STIG_Metrics!O101)/24))</f>
        <v>10.100000000000001</v>
      </c>
      <c r="AE101" s="146">
        <f>IF($E101=0,"",IF(STIG_Metrics!P101=60,0,($E101/STIG_Metrics!P101)/24))</f>
        <v>4.5</v>
      </c>
      <c r="AF101" s="148">
        <f>IF($E101=0,"",IF(STIG_Metrics!Q101=60,0,($E101/STIG_Metrics!Q101)/24))</f>
        <v>2.1999999999999997</v>
      </c>
      <c r="AG101" s="148">
        <f t="shared" si="37"/>
        <v>7.9000000000000021</v>
      </c>
      <c r="AH101" s="146">
        <f t="shared" si="38"/>
        <v>2.3000000000000003</v>
      </c>
      <c r="AI101" s="149">
        <f>IF($E101=0,"",$E101/STIG_Metrics!N101)</f>
        <v>242.40000000000003</v>
      </c>
      <c r="AJ101" s="149">
        <f>IF($E101=0,"",$E101/STIG_Metrics!O101)</f>
        <v>242.40000000000003</v>
      </c>
      <c r="AK101" s="147">
        <f>IF($E101=0,"",$E101/STIG_Metrics!P101)</f>
        <v>108</v>
      </c>
      <c r="AL101" s="149">
        <f>IF($E101=0,"",$E101/STIG_Metrics!Q101)</f>
        <v>52.8</v>
      </c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89"/>
      <c r="AY101" s="239"/>
      <c r="AZ101" s="110"/>
    </row>
    <row r="102" spans="2:52" ht="39.950000000000003" customHeight="1">
      <c r="B102" s="110"/>
      <c r="C102" s="89"/>
      <c r="D102" s="277" t="str">
        <f>(STIG_Metrics!A102)</f>
        <v>Oracle Java JRE 8 for Unix</v>
      </c>
      <c r="E102" s="218">
        <v>0</v>
      </c>
      <c r="F102" s="121"/>
      <c r="G102" s="118" t="str">
        <f t="shared" si="30"/>
        <v/>
      </c>
      <c r="H102" s="122" t="str">
        <f t="shared" si="39"/>
        <v/>
      </c>
      <c r="I102" s="123" t="str">
        <f t="shared" si="31"/>
        <v/>
      </c>
      <c r="J102" s="182" t="str">
        <f t="shared" si="40"/>
        <v/>
      </c>
      <c r="K102" s="187" t="str">
        <f>IF($E102=0,"",(STIG_Metrics!E102)*$E102)</f>
        <v/>
      </c>
      <c r="L102" s="31" t="str">
        <f>IF($E102=0,"",(STIG_Metrics!F102)*$E102)</f>
        <v/>
      </c>
      <c r="M102" s="47" t="str">
        <f>IF($E102=0,"",(STIG_Metrics!G102)*$E102)</f>
        <v/>
      </c>
      <c r="N102" s="31" t="str">
        <f>IF($E102=0,"",(STIG_Metrics!H102)*$E102)</f>
        <v/>
      </c>
      <c r="O102" s="31" t="str">
        <f>IF($E102=0,"",(STIG_Metrics!E102-STIG_Metrics!F102)*$E102)</f>
        <v/>
      </c>
      <c r="P102" s="47" t="str">
        <f>IF($E102=0,"",(STIG_Metrics!E102-STIG_Metrics!G102)*$E102)</f>
        <v/>
      </c>
      <c r="Q102" s="114" t="str">
        <f>IF($E102=0,"",(STIG_Metrics!E102-STIG_Metrics!H102)*$E102)</f>
        <v/>
      </c>
      <c r="R102" s="115" t="str">
        <f t="shared" si="32"/>
        <v/>
      </c>
      <c r="S102" s="32" t="str">
        <f t="shared" si="33"/>
        <v/>
      </c>
      <c r="T102" s="48" t="str">
        <f t="shared" si="34"/>
        <v/>
      </c>
      <c r="U102" s="237" t="str">
        <f t="shared" si="35"/>
        <v/>
      </c>
      <c r="V102" s="125" t="str">
        <f>IF($E102=0,"",STIG_Metrics!R102)</f>
        <v/>
      </c>
      <c r="W102" s="49" t="str">
        <f>IF($E102=0,"",STIG_Metrics!S102)</f>
        <v/>
      </c>
      <c r="X102" s="33" t="str">
        <f>IF($E102=0,"",STIG_Metrics!T102)</f>
        <v/>
      </c>
      <c r="Y102" s="34" t="str">
        <f t="shared" si="36"/>
        <v/>
      </c>
      <c r="Z102" s="34" t="str">
        <f t="shared" si="41"/>
        <v/>
      </c>
      <c r="AA102" s="50" t="str">
        <f t="shared" si="42"/>
        <v/>
      </c>
      <c r="AB102" s="34" t="str">
        <f t="shared" si="43"/>
        <v/>
      </c>
      <c r="AC102" s="208" t="str">
        <f>IF($E102=0,"",IF(STIG_Metrics!N102=60,0,($E102/STIG_Metrics!N102)/24))</f>
        <v/>
      </c>
      <c r="AD102" s="148" t="str">
        <f>IF($E102=0,"",IF(STIG_Metrics!O102=60,0,($E102/STIG_Metrics!O102)/24))</f>
        <v/>
      </c>
      <c r="AE102" s="146" t="str">
        <f>IF($E102=0,"",IF(STIG_Metrics!P102=60,0,($E102/STIG_Metrics!P102)/24))</f>
        <v/>
      </c>
      <c r="AF102" s="148" t="str">
        <f>IF($E102=0,"",IF(STIG_Metrics!Q102=60,0,($E102/STIG_Metrics!Q102)/24))</f>
        <v/>
      </c>
      <c r="AG102" s="148" t="str">
        <f t="shared" si="37"/>
        <v/>
      </c>
      <c r="AH102" s="146" t="str">
        <f t="shared" si="38"/>
        <v/>
      </c>
      <c r="AI102" s="149" t="str">
        <f>IF($E102=0,"",$E102/STIG_Metrics!N102)</f>
        <v/>
      </c>
      <c r="AJ102" s="149" t="str">
        <f>IF($E102=0,"",$E102/STIG_Metrics!O102)</f>
        <v/>
      </c>
      <c r="AK102" s="147" t="str">
        <f>IF($E102=0,"",$E102/STIG_Metrics!P102)</f>
        <v/>
      </c>
      <c r="AL102" s="149" t="str">
        <f>IF($E102=0,"",$E102/STIG_Metrics!Q102)</f>
        <v/>
      </c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89"/>
      <c r="AY102" s="239"/>
      <c r="AZ102" s="110"/>
    </row>
    <row r="103" spans="2:52" ht="39.950000000000003" customHeight="1">
      <c r="B103" s="110"/>
      <c r="C103" s="89"/>
      <c r="D103" s="278" t="str">
        <f>(STIG_Metrics!A103)</f>
        <v>Oracle Java Runtime Environment (JRE) Version 8 for Windows</v>
      </c>
      <c r="E103" s="218">
        <v>800</v>
      </c>
      <c r="F103" s="120"/>
      <c r="G103" s="118">
        <f>IF(E103=0,"",(AG103*24)*4)</f>
        <v>3600</v>
      </c>
      <c r="H103" s="122">
        <f>IF(E103=0,"",PRODUCT($G103,$E$7))</f>
        <v>453600</v>
      </c>
      <c r="I103" s="123">
        <f>IF(E103=0,"",(AH103*24)*4)</f>
        <v>3600</v>
      </c>
      <c r="J103" s="260">
        <f>IF(E103=0,"",PRODUCT($I103,$E$7))</f>
        <v>453600</v>
      </c>
      <c r="K103" s="186">
        <f>IF($E103=0,"",(STIG_Metrics!E103)*$E103)</f>
        <v>12800</v>
      </c>
      <c r="L103" s="47">
        <f>IF($E103=0,"",(STIG_Metrics!F103)*$E103)</f>
        <v>0</v>
      </c>
      <c r="M103" s="47">
        <f>IF($E103=0,"",(STIG_Metrics!G103)*$E103)</f>
        <v>0</v>
      </c>
      <c r="N103" s="47">
        <f>IF($E103=0,"",(STIG_Metrics!H103)*$E103)</f>
        <v>12000</v>
      </c>
      <c r="O103" s="47">
        <f>IF($E103=0,"",(STIG_Metrics!E103-STIG_Metrics!F103)*$E103)</f>
        <v>12800</v>
      </c>
      <c r="P103" s="47">
        <f>IF($E103=0,"",(STIG_Metrics!E103-STIG_Metrics!G103)*$E103)</f>
        <v>12800</v>
      </c>
      <c r="Q103" s="112">
        <f>IF($E103=0,"",(STIG_Metrics!E103-STIG_Metrics!H103)*$E103)</f>
        <v>800</v>
      </c>
      <c r="R103" s="113" t="str">
        <f>IF($E103=0,"",FLOOR($AC103*3,1)&amp;" Days"&amp;TEXT(SUM($AC103-TIME(8,0,0)*FLOOR($AC103*3,1))," h")&amp;" Hrs")</f>
        <v>120 Days 0 Hrs</v>
      </c>
      <c r="S103" s="48" t="str">
        <f>IF($E103=0,"",FLOOR($AD103*3,1)&amp;" Days"&amp;TEXT(SUM($AD103-TIME(8,0,0)*FLOOR($AD103*3,1))," h")&amp;" Hrs")</f>
        <v>120 Days 0 Hrs</v>
      </c>
      <c r="T103" s="48" t="str">
        <f>IF($E103=0,"",FLOOR($AE103*3,1)&amp;" Days"&amp;TEXT(SUM($AE103-TIME(8,0,0)*FLOOR($AE103*3,1))," h")&amp;" Hrs")</f>
        <v>120 Days 0 Hrs</v>
      </c>
      <c r="U103" s="236" t="str">
        <f>IF($E103=0,"",FLOOR($AF103*3,1)&amp; " Days"&amp;TEXT(SUM($AF103-TIME(8,0,0)*FLOOR($AF103*3,1))," h") &amp; " Hrs")</f>
        <v>7 Days 4 Hrs</v>
      </c>
      <c r="V103" s="261">
        <f>IF($E103=0,"",STIG_Metrics!R103)</f>
        <v>0</v>
      </c>
      <c r="W103" s="49">
        <f>IF($E103=0,"",STIG_Metrics!S103)</f>
        <v>0</v>
      </c>
      <c r="X103" s="49">
        <f>IF($E103=0,"",STIG_Metrics!T103)</f>
        <v>15</v>
      </c>
      <c r="Y103" s="50">
        <f>IF($E103=0,"",((K103*$E$8/60)*$E$7))</f>
        <v>120960</v>
      </c>
      <c r="Z103" s="50">
        <f>IF($E103=0,"",((O103*$E$8/60)*$E$7))</f>
        <v>120960</v>
      </c>
      <c r="AA103" s="50">
        <f>IF($E103=0,"",((P103*$E$8/60)*$E$7))</f>
        <v>120960</v>
      </c>
      <c r="AB103" s="50">
        <f>IF($E103=0,"",((Q103*$E$8/60)*$E$7))</f>
        <v>7560</v>
      </c>
      <c r="AC103" s="146">
        <f>IF($E103=0,"",IF(STIG_Metrics!N103=60,0,($E103/STIG_Metrics!N103)/24))</f>
        <v>40</v>
      </c>
      <c r="AD103" s="146">
        <f>IF($E103=0,"",IF(STIG_Metrics!O103=60,0,($E103/STIG_Metrics!O103)/24))</f>
        <v>40</v>
      </c>
      <c r="AE103" s="146">
        <f>IF($E103=0,"",IF(STIG_Metrics!P103=60,0,($E103/STIG_Metrics!P103)/24))</f>
        <v>40</v>
      </c>
      <c r="AF103" s="146">
        <f>IF($E103=0,"",IF(STIG_Metrics!Q103=60,0,($E103/STIG_Metrics!Q103)/24))</f>
        <v>2.5</v>
      </c>
      <c r="AG103" s="146">
        <f>IF($E103=0,"",$AD103-$AF103)</f>
        <v>37.5</v>
      </c>
      <c r="AH103" s="146">
        <f>IF($E103=0,"",$AE103-$AF103)</f>
        <v>37.5</v>
      </c>
      <c r="AI103" s="147">
        <f>IF($E103=0,"",$E103/STIG_Metrics!N103)</f>
        <v>960</v>
      </c>
      <c r="AJ103" s="147">
        <f>IF($E103=0,"",$E103/STIG_Metrics!O103)</f>
        <v>960</v>
      </c>
      <c r="AK103" s="147">
        <f>IF($E103=0,"",$E103/STIG_Metrics!P103)</f>
        <v>960</v>
      </c>
      <c r="AL103" s="147">
        <f>IF($E103=0,"",$E103/STIG_Metrics!Q103)</f>
        <v>60</v>
      </c>
      <c r="AM103" s="92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89"/>
      <c r="AY103" s="243"/>
      <c r="AZ103" s="110"/>
    </row>
    <row r="104" spans="2:52" ht="39.950000000000003" customHeight="1">
      <c r="B104" s="110"/>
      <c r="C104" s="111"/>
      <c r="D104" s="277" t="str">
        <f>(STIG_Metrics!A104)</f>
        <v>Oracle Linux 7</v>
      </c>
      <c r="E104" s="218">
        <v>0</v>
      </c>
      <c r="F104" s="121"/>
      <c r="G104" s="118" t="str">
        <f t="shared" si="30"/>
        <v/>
      </c>
      <c r="H104" s="122" t="str">
        <f t="shared" si="39"/>
        <v/>
      </c>
      <c r="I104" s="123" t="str">
        <f t="shared" si="31"/>
        <v/>
      </c>
      <c r="J104" s="182" t="str">
        <f t="shared" si="40"/>
        <v/>
      </c>
      <c r="K104" s="187" t="str">
        <f>IF($E104=0,"",(STIG_Metrics!E104)*$E104)</f>
        <v/>
      </c>
      <c r="L104" s="31" t="str">
        <f>IF($E104=0,"",(STIG_Metrics!F104)*$E104)</f>
        <v/>
      </c>
      <c r="M104" s="47" t="str">
        <f>IF($E104=0,"",(STIG_Metrics!G104)*$E104)</f>
        <v/>
      </c>
      <c r="N104" s="31" t="str">
        <f>IF($E104=0,"",(STIG_Metrics!H104)*$E104)</f>
        <v/>
      </c>
      <c r="O104" s="31" t="str">
        <f>IF($E104=0,"",(STIG_Metrics!E104-STIG_Metrics!F104)*$E104)</f>
        <v/>
      </c>
      <c r="P104" s="47" t="str">
        <f>IF($E104=0,"",(STIG_Metrics!E104-STIG_Metrics!G104)*$E104)</f>
        <v/>
      </c>
      <c r="Q104" s="114" t="str">
        <f>IF($E104=0,"",(STIG_Metrics!E104-STIG_Metrics!H104)*$E104)</f>
        <v/>
      </c>
      <c r="R104" s="115" t="str">
        <f t="shared" si="32"/>
        <v/>
      </c>
      <c r="S104" s="32" t="str">
        <f t="shared" si="33"/>
        <v/>
      </c>
      <c r="T104" s="48" t="str">
        <f t="shared" si="34"/>
        <v/>
      </c>
      <c r="U104" s="237" t="str">
        <f t="shared" si="35"/>
        <v/>
      </c>
      <c r="V104" s="125" t="str">
        <f>IF($E104=0,"",STIG_Metrics!R104)</f>
        <v/>
      </c>
      <c r="W104" s="49" t="str">
        <f>IF($E104=0,"",STIG_Metrics!S104)</f>
        <v/>
      </c>
      <c r="X104" s="33" t="str">
        <f>IF($E104=0,"",STIG_Metrics!T104)</f>
        <v/>
      </c>
      <c r="Y104" s="34" t="str">
        <f t="shared" si="36"/>
        <v/>
      </c>
      <c r="Z104" s="34" t="str">
        <f t="shared" si="41"/>
        <v/>
      </c>
      <c r="AA104" s="50" t="str">
        <f t="shared" si="42"/>
        <v/>
      </c>
      <c r="AB104" s="34" t="str">
        <f t="shared" si="43"/>
        <v/>
      </c>
      <c r="AC104" s="207" t="str">
        <f>IF($E104=0,"",IF(STIG_Metrics!N104=60,0,($E104/STIG_Metrics!N104)/24))</f>
        <v/>
      </c>
      <c r="AD104" s="146" t="str">
        <f>IF($E104=0,"",IF(STIG_Metrics!O104=60,0,($E104/STIG_Metrics!O104)/24))</f>
        <v/>
      </c>
      <c r="AE104" s="146" t="str">
        <f>IF($E104=0,"",IF(STIG_Metrics!P104=60,0,($E104/STIG_Metrics!P104)/24))</f>
        <v/>
      </c>
      <c r="AF104" s="146" t="str">
        <f>IF($E104=0,"",IF(STIG_Metrics!Q104=60,0,($E104/STIG_Metrics!Q104)/24))</f>
        <v/>
      </c>
      <c r="AG104" s="146" t="str">
        <f t="shared" si="37"/>
        <v/>
      </c>
      <c r="AH104" s="146" t="str">
        <f t="shared" si="38"/>
        <v/>
      </c>
      <c r="AI104" s="147" t="str">
        <f>IF($E104=0,"",$E104/STIG_Metrics!N104)</f>
        <v/>
      </c>
      <c r="AJ104" s="147" t="str">
        <f>IF($E104=0,"",$E104/STIG_Metrics!O104)</f>
        <v/>
      </c>
      <c r="AK104" s="147" t="str">
        <f>IF($E104=0,"",$E104/STIG_Metrics!P104)</f>
        <v/>
      </c>
      <c r="AL104" s="147" t="str">
        <f>IF($E104=0,"",$E104/STIG_Metrics!Q104)</f>
        <v/>
      </c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89"/>
      <c r="AY104" s="243"/>
      <c r="AZ104" s="110"/>
    </row>
    <row r="105" spans="2:52" ht="39.950000000000003" customHeight="1">
      <c r="B105" s="110"/>
      <c r="C105" s="111"/>
      <c r="D105" s="277" t="str">
        <f>(STIG_Metrics!A105)</f>
        <v>Oracle Linux 8</v>
      </c>
      <c r="E105" s="218">
        <v>0</v>
      </c>
      <c r="F105" s="121"/>
      <c r="G105" s="118" t="str">
        <f t="shared" si="30"/>
        <v/>
      </c>
      <c r="H105" s="122" t="str">
        <f t="shared" si="39"/>
        <v/>
      </c>
      <c r="I105" s="123" t="str">
        <f t="shared" si="31"/>
        <v/>
      </c>
      <c r="J105" s="182" t="str">
        <f t="shared" si="40"/>
        <v/>
      </c>
      <c r="K105" s="187" t="str">
        <f>IF($E105=0,"",(STIG_Metrics!E105)*$E105)</f>
        <v/>
      </c>
      <c r="L105" s="31" t="str">
        <f>IF($E105=0,"",(STIG_Metrics!F105)*$E105)</f>
        <v/>
      </c>
      <c r="M105" s="47" t="str">
        <f>IF($E105=0,"",(STIG_Metrics!G105)*$E105)</f>
        <v/>
      </c>
      <c r="N105" s="31" t="str">
        <f>IF($E105=0,"",(STIG_Metrics!H105)*$E105)</f>
        <v/>
      </c>
      <c r="O105" s="31" t="str">
        <f>IF($E105=0,"",(STIG_Metrics!E105-STIG_Metrics!F105)*$E105)</f>
        <v/>
      </c>
      <c r="P105" s="47" t="str">
        <f>IF($E105=0,"",(STIG_Metrics!E105-STIG_Metrics!G105)*$E105)</f>
        <v/>
      </c>
      <c r="Q105" s="114" t="str">
        <f>IF($E105=0,"",(STIG_Metrics!E105-STIG_Metrics!H105)*$E105)</f>
        <v/>
      </c>
      <c r="R105" s="115" t="str">
        <f t="shared" si="32"/>
        <v/>
      </c>
      <c r="S105" s="32" t="str">
        <f t="shared" si="33"/>
        <v/>
      </c>
      <c r="T105" s="48" t="str">
        <f t="shared" si="34"/>
        <v/>
      </c>
      <c r="U105" s="237" t="str">
        <f t="shared" si="35"/>
        <v/>
      </c>
      <c r="V105" s="125" t="str">
        <f>IF($E105=0,"",STIG_Metrics!R105)</f>
        <v/>
      </c>
      <c r="W105" s="49" t="str">
        <f>IF($E105=0,"",STIG_Metrics!S105)</f>
        <v/>
      </c>
      <c r="X105" s="33" t="str">
        <f>IF($E105=0,"",STIG_Metrics!T105)</f>
        <v/>
      </c>
      <c r="Y105" s="34" t="str">
        <f t="shared" si="36"/>
        <v/>
      </c>
      <c r="Z105" s="34" t="str">
        <f t="shared" si="41"/>
        <v/>
      </c>
      <c r="AA105" s="50" t="str">
        <f t="shared" si="42"/>
        <v/>
      </c>
      <c r="AB105" s="34" t="str">
        <f t="shared" si="43"/>
        <v/>
      </c>
      <c r="AC105" s="208" t="str">
        <f>IF($E105=0,"",IF(STIG_Metrics!N105=60,0,($E105/STIG_Metrics!N105)/24))</f>
        <v/>
      </c>
      <c r="AD105" s="148" t="str">
        <f>IF($E105=0,"",IF(STIG_Metrics!O105=60,0,($E105/STIG_Metrics!O105)/24))</f>
        <v/>
      </c>
      <c r="AE105" s="146" t="str">
        <f>IF($E105=0,"",IF(STIG_Metrics!P105=60,0,($E105/STIG_Metrics!P105)/24))</f>
        <v/>
      </c>
      <c r="AF105" s="148" t="str">
        <f>IF($E105=0,"",IF(STIG_Metrics!Q105=60,0,($E105/STIG_Metrics!Q105)/24))</f>
        <v/>
      </c>
      <c r="AG105" s="148" t="str">
        <f t="shared" si="37"/>
        <v/>
      </c>
      <c r="AH105" s="146" t="str">
        <f t="shared" si="38"/>
        <v/>
      </c>
      <c r="AI105" s="149" t="str">
        <f>IF($E105=0,"",$E105/STIG_Metrics!N105)</f>
        <v/>
      </c>
      <c r="AJ105" s="149" t="str">
        <f>IF($E105=0,"",$E105/STIG_Metrics!O105)</f>
        <v/>
      </c>
      <c r="AK105" s="147" t="str">
        <f>IF($E105=0,"",$E105/STIG_Metrics!P105)</f>
        <v/>
      </c>
      <c r="AL105" s="149" t="str">
        <f>IF($E105=0,"",$E105/STIG_Metrics!Q105)</f>
        <v/>
      </c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89"/>
      <c r="AY105" s="243"/>
      <c r="AZ105" s="110"/>
    </row>
    <row r="106" spans="2:52" ht="39.950000000000003" customHeight="1">
      <c r="B106" s="110"/>
      <c r="C106" s="111"/>
      <c r="D106" s="277" t="str">
        <f>(STIG_Metrics!A106)</f>
        <v>Oracle Linux 9</v>
      </c>
      <c r="E106" s="218">
        <v>0</v>
      </c>
      <c r="F106" s="121"/>
      <c r="G106" s="118" t="str">
        <f t="shared" si="30"/>
        <v/>
      </c>
      <c r="H106" s="122" t="str">
        <f t="shared" si="39"/>
        <v/>
      </c>
      <c r="I106" s="123" t="str">
        <f t="shared" si="31"/>
        <v/>
      </c>
      <c r="J106" s="182" t="str">
        <f t="shared" si="40"/>
        <v/>
      </c>
      <c r="K106" s="187" t="str">
        <f>IF($E106=0,"",(STIG_Metrics!E106)*$E106)</f>
        <v/>
      </c>
      <c r="L106" s="31" t="str">
        <f>IF($E106=0,"",(STIG_Metrics!F106)*$E106)</f>
        <v/>
      </c>
      <c r="M106" s="47" t="str">
        <f>IF($E106=0,"",(STIG_Metrics!G106)*$E106)</f>
        <v/>
      </c>
      <c r="N106" s="31" t="str">
        <f>IF($E106=0,"",(STIG_Metrics!H106)*$E106)</f>
        <v/>
      </c>
      <c r="O106" s="31" t="str">
        <f>IF($E106=0,"",(STIG_Metrics!E106-STIG_Metrics!F106)*$E106)</f>
        <v/>
      </c>
      <c r="P106" s="47" t="str">
        <f>IF($E106=0,"",(STIG_Metrics!E106-STIG_Metrics!G106)*$E106)</f>
        <v/>
      </c>
      <c r="Q106" s="114" t="str">
        <f>IF($E106=0,"",(STIG_Metrics!E106-STIG_Metrics!H106)*$E106)</f>
        <v/>
      </c>
      <c r="R106" s="115" t="str">
        <f t="shared" si="32"/>
        <v/>
      </c>
      <c r="S106" s="32" t="str">
        <f t="shared" si="33"/>
        <v/>
      </c>
      <c r="T106" s="48" t="str">
        <f t="shared" si="34"/>
        <v/>
      </c>
      <c r="U106" s="237" t="str">
        <f t="shared" si="35"/>
        <v/>
      </c>
      <c r="V106" s="125" t="str">
        <f>IF($E106=0,"",STIG_Metrics!R106)</f>
        <v/>
      </c>
      <c r="W106" s="49" t="str">
        <f>IF($E106=0,"",STIG_Metrics!S106)</f>
        <v/>
      </c>
      <c r="X106" s="33" t="str">
        <f>IF($E106=0,"",STIG_Metrics!T106)</f>
        <v/>
      </c>
      <c r="Y106" s="34" t="str">
        <f t="shared" si="36"/>
        <v/>
      </c>
      <c r="Z106" s="34" t="str">
        <f t="shared" si="41"/>
        <v/>
      </c>
      <c r="AA106" s="50" t="str">
        <f t="shared" si="42"/>
        <v/>
      </c>
      <c r="AB106" s="34" t="str">
        <f t="shared" si="43"/>
        <v/>
      </c>
      <c r="AC106" s="208" t="str">
        <f>IF($E106=0,"",IF(STIG_Metrics!N106=60,0,($E106/STIG_Metrics!N106)/24))</f>
        <v/>
      </c>
      <c r="AD106" s="148" t="str">
        <f>IF($E106=0,"",IF(STIG_Metrics!O106=60,0,($E106/STIG_Metrics!O106)/24))</f>
        <v/>
      </c>
      <c r="AE106" s="146" t="str">
        <f>IF($E106=0,"",IF(STIG_Metrics!P106=60,0,($E106/STIG_Metrics!P106)/24))</f>
        <v/>
      </c>
      <c r="AF106" s="148" t="str">
        <f>IF($E106=0,"",IF(STIG_Metrics!Q106=60,0,($E106/STIG_Metrics!Q106)/24))</f>
        <v/>
      </c>
      <c r="AG106" s="148" t="str">
        <f t="shared" si="37"/>
        <v/>
      </c>
      <c r="AH106" s="146" t="str">
        <f t="shared" si="38"/>
        <v/>
      </c>
      <c r="AI106" s="149" t="str">
        <f>IF($E106=0,"",$E106/STIG_Metrics!N106)</f>
        <v/>
      </c>
      <c r="AJ106" s="149" t="str">
        <f>IF($E106=0,"",$E106/STIG_Metrics!O106)</f>
        <v/>
      </c>
      <c r="AK106" s="147" t="str">
        <f>IF($E106=0,"",$E106/STIG_Metrics!P106)</f>
        <v/>
      </c>
      <c r="AL106" s="149" t="str">
        <f>IF($E106=0,"",$E106/STIG_Metrics!Q106)</f>
        <v/>
      </c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89"/>
      <c r="AY106" s="243"/>
      <c r="AZ106" s="110"/>
    </row>
    <row r="107" spans="2:52" ht="39.950000000000003" customHeight="1">
      <c r="B107" s="110"/>
      <c r="C107" s="259"/>
      <c r="D107" s="277" t="str">
        <f>(STIG_Metrics!A107)</f>
        <v>PostgreSQL 9.x</v>
      </c>
      <c r="E107" s="218">
        <v>0</v>
      </c>
      <c r="F107" s="121"/>
      <c r="G107" s="118" t="str">
        <f t="shared" si="30"/>
        <v/>
      </c>
      <c r="H107" s="122" t="str">
        <f t="shared" si="39"/>
        <v/>
      </c>
      <c r="I107" s="123" t="str">
        <f t="shared" si="31"/>
        <v/>
      </c>
      <c r="J107" s="182" t="str">
        <f t="shared" si="40"/>
        <v/>
      </c>
      <c r="K107" s="187" t="str">
        <f>IF($E107=0,"",(STIG_Metrics!E107)*$E107)</f>
        <v/>
      </c>
      <c r="L107" s="31" t="str">
        <f>IF($E107=0,"",(STIG_Metrics!F107)*$E107)</f>
        <v/>
      </c>
      <c r="M107" s="47" t="str">
        <f>IF($E107=0,"",(STIG_Metrics!G107)*$E107)</f>
        <v/>
      </c>
      <c r="N107" s="31" t="str">
        <f>IF($E107=0,"",(STIG_Metrics!H107)*$E107)</f>
        <v/>
      </c>
      <c r="O107" s="31" t="str">
        <f>IF($E107=0,"",(STIG_Metrics!E107-STIG_Metrics!F107)*$E107)</f>
        <v/>
      </c>
      <c r="P107" s="47" t="str">
        <f>IF($E107=0,"",(STIG_Metrics!E107-STIG_Metrics!G107)*$E107)</f>
        <v/>
      </c>
      <c r="Q107" s="114" t="str">
        <f>IF($E107=0,"",(STIG_Metrics!E107-STIG_Metrics!H107)*$E107)</f>
        <v/>
      </c>
      <c r="R107" s="115" t="str">
        <f t="shared" si="32"/>
        <v/>
      </c>
      <c r="S107" s="32" t="str">
        <f t="shared" si="33"/>
        <v/>
      </c>
      <c r="T107" s="48" t="str">
        <f t="shared" si="34"/>
        <v/>
      </c>
      <c r="U107" s="237" t="str">
        <f t="shared" si="35"/>
        <v/>
      </c>
      <c r="V107" s="125" t="str">
        <f>IF($E107=0,"",STIG_Metrics!R107)</f>
        <v/>
      </c>
      <c r="W107" s="49" t="str">
        <f>IF($E107=0,"",STIG_Metrics!S107)</f>
        <v/>
      </c>
      <c r="X107" s="33" t="str">
        <f>IF($E107=0,"",STIG_Metrics!T107)</f>
        <v/>
      </c>
      <c r="Y107" s="34" t="str">
        <f t="shared" si="36"/>
        <v/>
      </c>
      <c r="Z107" s="34" t="str">
        <f t="shared" si="41"/>
        <v/>
      </c>
      <c r="AA107" s="50" t="str">
        <f t="shared" si="42"/>
        <v/>
      </c>
      <c r="AB107" s="34" t="str">
        <f t="shared" si="43"/>
        <v/>
      </c>
      <c r="AC107" s="208" t="str">
        <f>IF($E107=0,"",IF(STIG_Metrics!N107=60,0,($E107/STIG_Metrics!N107)/24))</f>
        <v/>
      </c>
      <c r="AD107" s="148" t="str">
        <f>IF($E107=0,"",IF(STIG_Metrics!O107=60,0,($E107/STIG_Metrics!O107)/24))</f>
        <v/>
      </c>
      <c r="AE107" s="146" t="str">
        <f>IF($E107=0,"",IF(STIG_Metrics!P107=60,0,($E107/STIG_Metrics!P107)/24))</f>
        <v/>
      </c>
      <c r="AF107" s="148" t="str">
        <f>IF($E107=0,"",IF(STIG_Metrics!Q107=60,0,($E107/STIG_Metrics!Q107)/24))</f>
        <v/>
      </c>
      <c r="AG107" s="148" t="str">
        <f t="shared" si="37"/>
        <v/>
      </c>
      <c r="AH107" s="146" t="str">
        <f t="shared" si="38"/>
        <v/>
      </c>
      <c r="AI107" s="149" t="str">
        <f>IF($E107=0,"",$E107/STIG_Metrics!N107)</f>
        <v/>
      </c>
      <c r="AJ107" s="149" t="str">
        <f>IF($E107=0,"",$E107/STIG_Metrics!O107)</f>
        <v/>
      </c>
      <c r="AK107" s="147" t="str">
        <f>IF($E107=0,"",$E107/STIG_Metrics!P107)</f>
        <v/>
      </c>
      <c r="AL107" s="149" t="str">
        <f>IF($E107=0,"",$E107/STIG_Metrics!Q107)</f>
        <v/>
      </c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89"/>
      <c r="AY107" s="243"/>
      <c r="AZ107" s="110"/>
    </row>
    <row r="108" spans="2:52" ht="39.950000000000003" customHeight="1">
      <c r="B108" s="258"/>
      <c r="C108" s="259"/>
      <c r="D108" s="277" t="str">
        <f>(STIG_Metrics!A108)</f>
        <v>Rancher Government Solutions RKE2</v>
      </c>
      <c r="E108" s="218">
        <v>0</v>
      </c>
      <c r="F108" s="121"/>
      <c r="G108" s="118" t="str">
        <f t="shared" si="30"/>
        <v/>
      </c>
      <c r="H108" s="122" t="str">
        <f t="shared" si="39"/>
        <v/>
      </c>
      <c r="I108" s="123" t="str">
        <f t="shared" si="31"/>
        <v/>
      </c>
      <c r="J108" s="182" t="str">
        <f t="shared" si="40"/>
        <v/>
      </c>
      <c r="K108" s="187" t="str">
        <f>IF($E108=0,"",(STIG_Metrics!E108)*$E108)</f>
        <v/>
      </c>
      <c r="L108" s="31" t="str">
        <f>IF($E108=0,"",(STIG_Metrics!F108)*$E108)</f>
        <v/>
      </c>
      <c r="M108" s="47" t="str">
        <f>IF($E108=0,"",(STIG_Metrics!G108)*$E108)</f>
        <v/>
      </c>
      <c r="N108" s="31" t="str">
        <f>IF($E108=0,"",(STIG_Metrics!H108)*$E108)</f>
        <v/>
      </c>
      <c r="O108" s="31" t="str">
        <f>IF($E108=0,"",(STIG_Metrics!E108-STIG_Metrics!F108)*$E108)</f>
        <v/>
      </c>
      <c r="P108" s="47" t="str">
        <f>IF($E108=0,"",(STIG_Metrics!E108-STIG_Metrics!G108)*$E108)</f>
        <v/>
      </c>
      <c r="Q108" s="114" t="str">
        <f>IF($E108=0,"",(STIG_Metrics!E108-STIG_Metrics!H108)*$E108)</f>
        <v/>
      </c>
      <c r="R108" s="115" t="str">
        <f t="shared" si="32"/>
        <v/>
      </c>
      <c r="S108" s="32" t="str">
        <f t="shared" si="33"/>
        <v/>
      </c>
      <c r="T108" s="48" t="str">
        <f t="shared" si="34"/>
        <v/>
      </c>
      <c r="U108" s="237" t="str">
        <f t="shared" si="35"/>
        <v/>
      </c>
      <c r="V108" s="125" t="str">
        <f>IF($E108=0,"",STIG_Metrics!R108)</f>
        <v/>
      </c>
      <c r="W108" s="49" t="str">
        <f>IF($E108=0,"",STIG_Metrics!S108)</f>
        <v/>
      </c>
      <c r="X108" s="33" t="str">
        <f>IF($E108=0,"",STIG_Metrics!T108)</f>
        <v/>
      </c>
      <c r="Y108" s="34" t="str">
        <f t="shared" si="36"/>
        <v/>
      </c>
      <c r="Z108" s="34" t="str">
        <f t="shared" si="41"/>
        <v/>
      </c>
      <c r="AA108" s="50" t="str">
        <f t="shared" si="42"/>
        <v/>
      </c>
      <c r="AB108" s="34" t="str">
        <f t="shared" si="43"/>
        <v/>
      </c>
      <c r="AC108" s="208" t="str">
        <f>IF($E108=0,"",IF(STIG_Metrics!N108=60,0,($E108/STIG_Metrics!N108)/24))</f>
        <v/>
      </c>
      <c r="AD108" s="148" t="str">
        <f>IF($E108=0,"",IF(STIG_Metrics!O108=60,0,($E108/STIG_Metrics!O108)/24))</f>
        <v/>
      </c>
      <c r="AE108" s="146" t="str">
        <f>IF($E108=0,"",IF(STIG_Metrics!P108=60,0,($E108/STIG_Metrics!P108)/24))</f>
        <v/>
      </c>
      <c r="AF108" s="148" t="str">
        <f>IF($E108=0,"",IF(STIG_Metrics!Q108=60,0,($E108/STIG_Metrics!Q108)/24))</f>
        <v/>
      </c>
      <c r="AG108" s="148" t="str">
        <f t="shared" si="37"/>
        <v/>
      </c>
      <c r="AH108" s="146" t="str">
        <f t="shared" si="38"/>
        <v/>
      </c>
      <c r="AI108" s="149" t="str">
        <f>IF($E108=0,"",$E108/STIG_Metrics!N108)</f>
        <v/>
      </c>
      <c r="AJ108" s="149" t="str">
        <f>IF($E108=0,"",$E108/STIG_Metrics!O108)</f>
        <v/>
      </c>
      <c r="AK108" s="147" t="str">
        <f>IF($E108=0,"",$E108/STIG_Metrics!P108)</f>
        <v/>
      </c>
      <c r="AL108" s="149" t="str">
        <f>IF($E108=0,"",$E108/STIG_Metrics!Q108)</f>
        <v/>
      </c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89"/>
      <c r="AY108" s="243"/>
      <c r="AZ108" s="258"/>
    </row>
    <row r="109" spans="2:52" ht="39.950000000000003" customHeight="1">
      <c r="B109" s="258"/>
      <c r="C109" s="263"/>
      <c r="D109" s="277" t="str">
        <f>(STIG_Metrics!A109)</f>
        <v>Red Hat Enterprise Linux 7</v>
      </c>
      <c r="E109" s="218">
        <v>0</v>
      </c>
      <c r="F109" s="121"/>
      <c r="G109" s="118" t="str">
        <f t="shared" si="30"/>
        <v/>
      </c>
      <c r="H109" s="122" t="str">
        <f t="shared" si="39"/>
        <v/>
      </c>
      <c r="I109" s="123" t="str">
        <f t="shared" si="31"/>
        <v/>
      </c>
      <c r="J109" s="182" t="str">
        <f t="shared" si="40"/>
        <v/>
      </c>
      <c r="K109" s="187" t="str">
        <f>IF($E109=0,"",(STIG_Metrics!E109)*$E109)</f>
        <v/>
      </c>
      <c r="L109" s="31" t="str">
        <f>IF($E109=0,"",(STIG_Metrics!F109)*$E109)</f>
        <v/>
      </c>
      <c r="M109" s="47" t="str">
        <f>IF($E109=0,"",(STIG_Metrics!G109)*$E109)</f>
        <v/>
      </c>
      <c r="N109" s="31" t="str">
        <f>IF($E109=0,"",(STIG_Metrics!H109)*$E109)</f>
        <v/>
      </c>
      <c r="O109" s="31" t="str">
        <f>IF($E109=0,"",(STIG_Metrics!E109-STIG_Metrics!F109)*$E109)</f>
        <v/>
      </c>
      <c r="P109" s="47" t="str">
        <f>IF($E109=0,"",(STIG_Metrics!E109-STIG_Metrics!G109)*$E109)</f>
        <v/>
      </c>
      <c r="Q109" s="114" t="str">
        <f>IF($E109=0,"",(STIG_Metrics!E109-STIG_Metrics!H109)*$E109)</f>
        <v/>
      </c>
      <c r="R109" s="115" t="str">
        <f t="shared" si="32"/>
        <v/>
      </c>
      <c r="S109" s="32" t="str">
        <f t="shared" si="33"/>
        <v/>
      </c>
      <c r="T109" s="48" t="str">
        <f t="shared" si="34"/>
        <v/>
      </c>
      <c r="U109" s="237" t="str">
        <f t="shared" si="35"/>
        <v/>
      </c>
      <c r="V109" s="125" t="str">
        <f>IF($E109=0,"",STIG_Metrics!R109)</f>
        <v/>
      </c>
      <c r="W109" s="49" t="str">
        <f>IF($E109=0,"",STIG_Metrics!S109)</f>
        <v/>
      </c>
      <c r="X109" s="33" t="str">
        <f>IF($E109=0,"",STIG_Metrics!T109)</f>
        <v/>
      </c>
      <c r="Y109" s="34" t="str">
        <f t="shared" si="36"/>
        <v/>
      </c>
      <c r="Z109" s="34" t="str">
        <f t="shared" si="41"/>
        <v/>
      </c>
      <c r="AA109" s="50" t="str">
        <f t="shared" si="42"/>
        <v/>
      </c>
      <c r="AB109" s="34" t="str">
        <f t="shared" si="43"/>
        <v/>
      </c>
      <c r="AC109" s="207" t="str">
        <f>IF($E109=0,"",IF(STIG_Metrics!N109=60,0,($E109/STIG_Metrics!N109)/24))</f>
        <v/>
      </c>
      <c r="AD109" s="146" t="str">
        <f>IF($E109=0,"",IF(STIG_Metrics!O109=60,0,($E109/STIG_Metrics!O109)/24))</f>
        <v/>
      </c>
      <c r="AE109" s="146" t="str">
        <f>IF($E109=0,"",IF(STIG_Metrics!P109=60,0,($E109/STIG_Metrics!P109)/24))</f>
        <v/>
      </c>
      <c r="AF109" s="146" t="str">
        <f>IF($E109=0,"",IF(STIG_Metrics!Q109=60,0,($E109/STIG_Metrics!Q109)/24))</f>
        <v/>
      </c>
      <c r="AG109" s="146" t="str">
        <f t="shared" si="37"/>
        <v/>
      </c>
      <c r="AH109" s="146" t="str">
        <f t="shared" si="38"/>
        <v/>
      </c>
      <c r="AI109" s="147" t="str">
        <f>IF($E109=0,"",$E109/STIG_Metrics!N109)</f>
        <v/>
      </c>
      <c r="AJ109" s="147" t="str">
        <f>IF($E109=0,"",$E109/STIG_Metrics!O109)</f>
        <v/>
      </c>
      <c r="AK109" s="147" t="str">
        <f>IF($E109=0,"",$E109/STIG_Metrics!P109)</f>
        <v/>
      </c>
      <c r="AL109" s="147" t="str">
        <f>IF($E109=0,"",$E109/STIG_Metrics!Q109)</f>
        <v/>
      </c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89"/>
      <c r="AY109" s="243"/>
      <c r="AZ109" s="258"/>
    </row>
    <row r="110" spans="2:52" ht="39.950000000000003" customHeight="1">
      <c r="B110" s="262"/>
      <c r="C110" s="263"/>
      <c r="D110" s="277" t="str">
        <f>(STIG_Metrics!A110)</f>
        <v>Red Hat Enterprise Linux 8</v>
      </c>
      <c r="E110" s="218">
        <v>0</v>
      </c>
      <c r="F110" s="121"/>
      <c r="G110" s="118" t="str">
        <f t="shared" si="30"/>
        <v/>
      </c>
      <c r="H110" s="122" t="str">
        <f t="shared" si="39"/>
        <v/>
      </c>
      <c r="I110" s="123" t="str">
        <f t="shared" si="31"/>
        <v/>
      </c>
      <c r="J110" s="182" t="str">
        <f t="shared" si="40"/>
        <v/>
      </c>
      <c r="K110" s="187" t="str">
        <f>IF($E110=0,"",(STIG_Metrics!E110)*$E110)</f>
        <v/>
      </c>
      <c r="L110" s="31" t="str">
        <f>IF($E110=0,"",(STIG_Metrics!F110)*$E110)</f>
        <v/>
      </c>
      <c r="M110" s="47" t="str">
        <f>IF($E110=0,"",(STIG_Metrics!G110)*$E110)</f>
        <v/>
      </c>
      <c r="N110" s="31" t="str">
        <f>IF($E110=0,"",(STIG_Metrics!H110)*$E110)</f>
        <v/>
      </c>
      <c r="O110" s="31" t="str">
        <f>IF($E110=0,"",(STIG_Metrics!E110-STIG_Metrics!F110)*$E110)</f>
        <v/>
      </c>
      <c r="P110" s="47" t="str">
        <f>IF($E110=0,"",(STIG_Metrics!E110-STIG_Metrics!G110)*$E110)</f>
        <v/>
      </c>
      <c r="Q110" s="114" t="str">
        <f>IF($E110=0,"",(STIG_Metrics!E110-STIG_Metrics!H110)*$E110)</f>
        <v/>
      </c>
      <c r="R110" s="115" t="str">
        <f t="shared" si="32"/>
        <v/>
      </c>
      <c r="S110" s="32" t="str">
        <f t="shared" si="33"/>
        <v/>
      </c>
      <c r="T110" s="48" t="str">
        <f t="shared" si="34"/>
        <v/>
      </c>
      <c r="U110" s="237" t="str">
        <f t="shared" si="35"/>
        <v/>
      </c>
      <c r="V110" s="125" t="str">
        <f>IF($E110=0,"",STIG_Metrics!R110)</f>
        <v/>
      </c>
      <c r="W110" s="49" t="str">
        <f>IF($E110=0,"",STIG_Metrics!S110)</f>
        <v/>
      </c>
      <c r="X110" s="33" t="str">
        <f>IF($E110=0,"",STIG_Metrics!T110)</f>
        <v/>
      </c>
      <c r="Y110" s="34" t="str">
        <f t="shared" si="36"/>
        <v/>
      </c>
      <c r="Z110" s="34" t="str">
        <f t="shared" si="41"/>
        <v/>
      </c>
      <c r="AA110" s="50" t="str">
        <f t="shared" si="42"/>
        <v/>
      </c>
      <c r="AB110" s="34" t="str">
        <f t="shared" si="43"/>
        <v/>
      </c>
      <c r="AC110" s="207" t="str">
        <f>IF($E110=0,"",IF(STIG_Metrics!N110=60,0,($E110/STIG_Metrics!N110)/24))</f>
        <v/>
      </c>
      <c r="AD110" s="146" t="str">
        <f>IF($E110=0,"",IF(STIG_Metrics!O110=60,0,($E110/STIG_Metrics!O110)/24))</f>
        <v/>
      </c>
      <c r="AE110" s="146" t="str">
        <f>IF($E110=0,"",IF(STIG_Metrics!P110=60,0,($E110/STIG_Metrics!P110)/24))</f>
        <v/>
      </c>
      <c r="AF110" s="146" t="str">
        <f>IF($E110=0,"",IF(STIG_Metrics!Q110=60,0,($E110/STIG_Metrics!Q110)/24))</f>
        <v/>
      </c>
      <c r="AG110" s="146" t="str">
        <f t="shared" si="37"/>
        <v/>
      </c>
      <c r="AH110" s="146" t="str">
        <f t="shared" si="38"/>
        <v/>
      </c>
      <c r="AI110" s="147" t="str">
        <f>IF($E110=0,"",$E110/STIG_Metrics!N110)</f>
        <v/>
      </c>
      <c r="AJ110" s="147" t="str">
        <f>IF($E110=0,"",$E110/STIG_Metrics!O110)</f>
        <v/>
      </c>
      <c r="AK110" s="147" t="str">
        <f>IF($E110=0,"",$E110/STIG_Metrics!P110)</f>
        <v/>
      </c>
      <c r="AL110" s="147" t="str">
        <f>IF($E110=0,"",$E110/STIG_Metrics!Q110)</f>
        <v/>
      </c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89"/>
      <c r="AY110" s="243"/>
      <c r="AZ110" s="262"/>
    </row>
    <row r="111" spans="2:52" ht="39.950000000000003" customHeight="1">
      <c r="B111" s="262"/>
      <c r="C111" s="271"/>
      <c r="D111" s="277" t="str">
        <f>(STIG_Metrics!A111)</f>
        <v>Red Hat Enterprise Linux 9</v>
      </c>
      <c r="E111" s="218">
        <v>0</v>
      </c>
      <c r="F111" s="121"/>
      <c r="G111" s="118" t="str">
        <f t="shared" si="30"/>
        <v/>
      </c>
      <c r="H111" s="122" t="str">
        <f t="shared" si="39"/>
        <v/>
      </c>
      <c r="I111" s="123" t="str">
        <f t="shared" si="31"/>
        <v/>
      </c>
      <c r="J111" s="182" t="str">
        <f t="shared" si="40"/>
        <v/>
      </c>
      <c r="K111" s="187" t="str">
        <f>IF($E111=0,"",(STIG_Metrics!E111)*$E111)</f>
        <v/>
      </c>
      <c r="L111" s="31" t="str">
        <f>IF($E111=0,"",(STIG_Metrics!F111)*$E111)</f>
        <v/>
      </c>
      <c r="M111" s="47" t="str">
        <f>IF($E111=0,"",(STIG_Metrics!G111)*$E111)</f>
        <v/>
      </c>
      <c r="N111" s="31" t="str">
        <f>IF($E111=0,"",(STIG_Metrics!H111)*$E111)</f>
        <v/>
      </c>
      <c r="O111" s="31" t="str">
        <f>IF($E111=0,"",(STIG_Metrics!E111-STIG_Metrics!F111)*$E111)</f>
        <v/>
      </c>
      <c r="P111" s="47" t="str">
        <f>IF($E111=0,"",(STIG_Metrics!E111-STIG_Metrics!G111)*$E111)</f>
        <v/>
      </c>
      <c r="Q111" s="114" t="str">
        <f>IF($E111=0,"",(STIG_Metrics!E111-STIG_Metrics!H111)*$E111)</f>
        <v/>
      </c>
      <c r="R111" s="115" t="str">
        <f t="shared" si="32"/>
        <v/>
      </c>
      <c r="S111" s="32" t="str">
        <f t="shared" si="33"/>
        <v/>
      </c>
      <c r="T111" s="48" t="str">
        <f t="shared" si="34"/>
        <v/>
      </c>
      <c r="U111" s="237" t="str">
        <f t="shared" si="35"/>
        <v/>
      </c>
      <c r="V111" s="125" t="str">
        <f>IF($E111=0,"",STIG_Metrics!R111)</f>
        <v/>
      </c>
      <c r="W111" s="49" t="str">
        <f>IF($E111=0,"",STIG_Metrics!S111)</f>
        <v/>
      </c>
      <c r="X111" s="33" t="str">
        <f>IF($E111=0,"",STIG_Metrics!T111)</f>
        <v/>
      </c>
      <c r="Y111" s="34" t="str">
        <f t="shared" si="36"/>
        <v/>
      </c>
      <c r="Z111" s="34" t="str">
        <f t="shared" si="41"/>
        <v/>
      </c>
      <c r="AA111" s="50" t="str">
        <f t="shared" si="42"/>
        <v/>
      </c>
      <c r="AB111" s="34" t="str">
        <f t="shared" si="43"/>
        <v/>
      </c>
      <c r="AC111" s="207" t="str">
        <f>IF($E111=0,"",IF(STIG_Metrics!N111=60,0,($E111/STIG_Metrics!N111)/24))</f>
        <v/>
      </c>
      <c r="AD111" s="146" t="str">
        <f>IF($E111=0,"",IF(STIG_Metrics!O111=60,0,($E111/STIG_Metrics!O111)/24))</f>
        <v/>
      </c>
      <c r="AE111" s="146" t="str">
        <f>IF($E111=0,"",IF(STIG_Metrics!P111=60,0,($E111/STIG_Metrics!P111)/24))</f>
        <v/>
      </c>
      <c r="AF111" s="146" t="str">
        <f>IF($E111=0,"",IF(STIG_Metrics!Q111=60,0,($E111/STIG_Metrics!Q111)/24))</f>
        <v/>
      </c>
      <c r="AG111" s="146" t="str">
        <f t="shared" si="37"/>
        <v/>
      </c>
      <c r="AH111" s="146" t="str">
        <f t="shared" si="38"/>
        <v/>
      </c>
      <c r="AI111" s="147" t="str">
        <f>IF($E111=0,"",$E111/STIG_Metrics!N111)</f>
        <v/>
      </c>
      <c r="AJ111" s="147" t="str">
        <f>IF($E111=0,"",$E111/STIG_Metrics!O111)</f>
        <v/>
      </c>
      <c r="AK111" s="147" t="str">
        <f>IF($E111=0,"",$E111/STIG_Metrics!P111)</f>
        <v/>
      </c>
      <c r="AL111" s="147" t="str">
        <f>IF($E111=0,"",$E111/STIG_Metrics!Q111)</f>
        <v/>
      </c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89"/>
      <c r="AY111" s="243"/>
      <c r="AZ111" s="262"/>
    </row>
    <row r="112" spans="2:52" ht="39.950000000000003" customHeight="1">
      <c r="B112" s="270"/>
      <c r="C112" s="271"/>
      <c r="D112" s="277" t="str">
        <f>(STIG_Metrics!A112)</f>
        <v>Trellix ENS 10.x Local Client</v>
      </c>
      <c r="E112" s="218">
        <v>0</v>
      </c>
      <c r="F112" s="121"/>
      <c r="G112" s="118" t="str">
        <f t="shared" si="30"/>
        <v/>
      </c>
      <c r="H112" s="122" t="str">
        <f t="shared" si="39"/>
        <v/>
      </c>
      <c r="I112" s="123" t="str">
        <f t="shared" si="31"/>
        <v/>
      </c>
      <c r="J112" s="182" t="str">
        <f t="shared" si="40"/>
        <v/>
      </c>
      <c r="K112" s="187" t="str">
        <f>IF($E112=0,"",(STIG_Metrics!E112)*$E112)</f>
        <v/>
      </c>
      <c r="L112" s="31" t="str">
        <f>IF($E112=0,"",(STIG_Metrics!F112)*$E112)</f>
        <v/>
      </c>
      <c r="M112" s="47" t="str">
        <f>IF($E112=0,"",(STIG_Metrics!G112)*$E112)</f>
        <v/>
      </c>
      <c r="N112" s="31" t="str">
        <f>IF($E112=0,"",(STIG_Metrics!H112)*$E112)</f>
        <v/>
      </c>
      <c r="O112" s="31" t="str">
        <f>IF($E112=0,"",(STIG_Metrics!E112-STIG_Metrics!F112)*$E112)</f>
        <v/>
      </c>
      <c r="P112" s="47" t="str">
        <f>IF($E112=0,"",(STIG_Metrics!E112-STIG_Metrics!G112)*$E112)</f>
        <v/>
      </c>
      <c r="Q112" s="114" t="str">
        <f>IF($E112=0,"",(STIG_Metrics!E112-STIG_Metrics!H112)*$E112)</f>
        <v/>
      </c>
      <c r="R112" s="115" t="str">
        <f t="shared" si="32"/>
        <v/>
      </c>
      <c r="S112" s="32" t="str">
        <f t="shared" si="33"/>
        <v/>
      </c>
      <c r="T112" s="48" t="str">
        <f t="shared" si="34"/>
        <v/>
      </c>
      <c r="U112" s="237" t="str">
        <f t="shared" si="35"/>
        <v/>
      </c>
      <c r="V112" s="125" t="str">
        <f>IF($E112=0,"",STIG_Metrics!R112)</f>
        <v/>
      </c>
      <c r="W112" s="49" t="str">
        <f>IF($E112=0,"",STIG_Metrics!S112)</f>
        <v/>
      </c>
      <c r="X112" s="33" t="str">
        <f>IF($E112=0,"",STIG_Metrics!T112)</f>
        <v/>
      </c>
      <c r="Y112" s="34" t="str">
        <f t="shared" si="36"/>
        <v/>
      </c>
      <c r="Z112" s="34" t="str">
        <f t="shared" si="41"/>
        <v/>
      </c>
      <c r="AA112" s="50" t="str">
        <f t="shared" si="42"/>
        <v/>
      </c>
      <c r="AB112" s="34" t="str">
        <f t="shared" si="43"/>
        <v/>
      </c>
      <c r="AC112" s="207" t="str">
        <f>IF($E112=0,"",IF(STIG_Metrics!N112=60,0,($E112/STIG_Metrics!N112)/24))</f>
        <v/>
      </c>
      <c r="AD112" s="146" t="str">
        <f>IF($E112=0,"",IF(STIG_Metrics!O112=60,0,($E112/STIG_Metrics!O112)/24))</f>
        <v/>
      </c>
      <c r="AE112" s="146" t="str">
        <f>IF($E112=0,"",IF(STIG_Metrics!P112=60,0,($E112/STIG_Metrics!P112)/24))</f>
        <v/>
      </c>
      <c r="AF112" s="146" t="str">
        <f>IF($E112=0,"",IF(STIG_Metrics!Q112=60,0,($E112/STIG_Metrics!Q112)/24))</f>
        <v/>
      </c>
      <c r="AG112" s="146" t="str">
        <f t="shared" si="37"/>
        <v/>
      </c>
      <c r="AH112" s="146" t="str">
        <f t="shared" si="38"/>
        <v/>
      </c>
      <c r="AI112" s="147" t="str">
        <f>IF($E112=0,"",$E112/STIG_Metrics!N112)</f>
        <v/>
      </c>
      <c r="AJ112" s="147" t="str">
        <f>IF($E112=0,"",$E112/STIG_Metrics!O112)</f>
        <v/>
      </c>
      <c r="AK112" s="147" t="str">
        <f>IF($E112=0,"",$E112/STIG_Metrics!P112)</f>
        <v/>
      </c>
      <c r="AL112" s="147" t="str">
        <f>IF($E112=0,"",$E112/STIG_Metrics!Q112)</f>
        <v/>
      </c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89"/>
      <c r="AY112" s="243"/>
      <c r="AZ112" s="270"/>
    </row>
    <row r="113" spans="2:52" ht="39.950000000000003" customHeight="1">
      <c r="B113" s="270"/>
      <c r="C113" s="282"/>
      <c r="D113" s="277" t="str">
        <f>(STIG_Metrics!A113)</f>
        <v>VMware Horizon 7.13 Agent</v>
      </c>
      <c r="E113" s="218">
        <v>0</v>
      </c>
      <c r="F113" s="121"/>
      <c r="G113" s="118" t="str">
        <f t="shared" si="30"/>
        <v/>
      </c>
      <c r="H113" s="122" t="str">
        <f t="shared" si="39"/>
        <v/>
      </c>
      <c r="I113" s="123" t="str">
        <f t="shared" si="31"/>
        <v/>
      </c>
      <c r="J113" s="182" t="str">
        <f t="shared" si="40"/>
        <v/>
      </c>
      <c r="K113" s="187" t="str">
        <f>IF($E113=0,"",(STIG_Metrics!E113)*$E113)</f>
        <v/>
      </c>
      <c r="L113" s="31" t="str">
        <f>IF($E113=0,"",(STIG_Metrics!F113)*$E113)</f>
        <v/>
      </c>
      <c r="M113" s="47" t="str">
        <f>IF($E113=0,"",(STIG_Metrics!G113)*$E113)</f>
        <v/>
      </c>
      <c r="N113" s="31" t="str">
        <f>IF($E113=0,"",(STIG_Metrics!H113)*$E113)</f>
        <v/>
      </c>
      <c r="O113" s="31" t="str">
        <f>IF($E113=0,"",(STIG_Metrics!E113-STIG_Metrics!F113)*$E113)</f>
        <v/>
      </c>
      <c r="P113" s="47" t="str">
        <f>IF($E113=0,"",(STIG_Metrics!E113-STIG_Metrics!G113)*$E113)</f>
        <v/>
      </c>
      <c r="Q113" s="114" t="str">
        <f>IF($E113=0,"",(STIG_Metrics!E113-STIG_Metrics!H113)*$E113)</f>
        <v/>
      </c>
      <c r="R113" s="115" t="str">
        <f t="shared" si="32"/>
        <v/>
      </c>
      <c r="S113" s="32" t="str">
        <f t="shared" si="33"/>
        <v/>
      </c>
      <c r="T113" s="48" t="str">
        <f t="shared" si="34"/>
        <v/>
      </c>
      <c r="U113" s="237" t="str">
        <f t="shared" si="35"/>
        <v/>
      </c>
      <c r="V113" s="125" t="str">
        <f>IF($E113=0,"",STIG_Metrics!R113)</f>
        <v/>
      </c>
      <c r="W113" s="49" t="str">
        <f>IF($E113=0,"",STIG_Metrics!S113)</f>
        <v/>
      </c>
      <c r="X113" s="33" t="str">
        <f>IF($E113=0,"",STIG_Metrics!T113)</f>
        <v/>
      </c>
      <c r="Y113" s="34" t="str">
        <f t="shared" si="36"/>
        <v/>
      </c>
      <c r="Z113" s="34" t="str">
        <f t="shared" si="41"/>
        <v/>
      </c>
      <c r="AA113" s="50" t="str">
        <f t="shared" si="42"/>
        <v/>
      </c>
      <c r="AB113" s="34" t="str">
        <f t="shared" si="43"/>
        <v/>
      </c>
      <c r="AC113" s="207" t="str">
        <f>IF($E113=0,"",IF(STIG_Metrics!N113=60,0,($E113/STIG_Metrics!N113)/24))</f>
        <v/>
      </c>
      <c r="AD113" s="146" t="str">
        <f>IF($E113=0,"",IF(STIG_Metrics!O113=60,0,($E113/STIG_Metrics!O113)/24))</f>
        <v/>
      </c>
      <c r="AE113" s="146" t="str">
        <f>IF($E113=0,"",IF(STIG_Metrics!P113=60,0,($E113/STIG_Metrics!P113)/24))</f>
        <v/>
      </c>
      <c r="AF113" s="146" t="str">
        <f>IF($E113=0,"",IF(STIG_Metrics!Q113=60,0,($E113/STIG_Metrics!Q113)/24))</f>
        <v/>
      </c>
      <c r="AG113" s="146" t="str">
        <f t="shared" si="37"/>
        <v/>
      </c>
      <c r="AH113" s="146" t="str">
        <f t="shared" si="38"/>
        <v/>
      </c>
      <c r="AI113" s="147" t="str">
        <f>IF($E113=0,"",$E113/STIG_Metrics!N113)</f>
        <v/>
      </c>
      <c r="AJ113" s="147" t="str">
        <f>IF($E113=0,"",$E113/STIG_Metrics!O113)</f>
        <v/>
      </c>
      <c r="AK113" s="147" t="str">
        <f>IF($E113=0,"",$E113/STIG_Metrics!P113)</f>
        <v/>
      </c>
      <c r="AL113" s="147" t="str">
        <f>IF($E113=0,"",$E113/STIG_Metrics!Q113)</f>
        <v/>
      </c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89"/>
      <c r="AY113" s="243"/>
      <c r="AZ113" s="270"/>
    </row>
    <row r="114" spans="2:52" ht="39.950000000000003" customHeight="1">
      <c r="B114" s="281"/>
      <c r="C114" s="286"/>
      <c r="D114" s="277" t="str">
        <f>(STIG_Metrics!A114)</f>
        <v>VMware Horizon 7.13 Client</v>
      </c>
      <c r="E114" s="218">
        <v>0</v>
      </c>
      <c r="F114" s="121"/>
      <c r="G114" s="118" t="str">
        <f t="shared" si="30"/>
        <v/>
      </c>
      <c r="H114" s="122" t="str">
        <f t="shared" si="39"/>
        <v/>
      </c>
      <c r="I114" s="123" t="str">
        <f t="shared" si="31"/>
        <v/>
      </c>
      <c r="J114" s="182" t="str">
        <f t="shared" si="40"/>
        <v/>
      </c>
      <c r="K114" s="187" t="str">
        <f>IF($E114=0,"",(STIG_Metrics!E114)*$E114)</f>
        <v/>
      </c>
      <c r="L114" s="31" t="str">
        <f>IF($E114=0,"",(STIG_Metrics!F114)*$E114)</f>
        <v/>
      </c>
      <c r="M114" s="47" t="str">
        <f>IF($E114=0,"",(STIG_Metrics!G114)*$E114)</f>
        <v/>
      </c>
      <c r="N114" s="31" t="str">
        <f>IF($E114=0,"",(STIG_Metrics!H114)*$E114)</f>
        <v/>
      </c>
      <c r="O114" s="31" t="str">
        <f>IF($E114=0,"",(STIG_Metrics!E114-STIG_Metrics!F114)*$E114)</f>
        <v/>
      </c>
      <c r="P114" s="47" t="str">
        <f>IF($E114=0,"",(STIG_Metrics!E114-STIG_Metrics!G114)*$E114)</f>
        <v/>
      </c>
      <c r="Q114" s="114" t="str">
        <f>IF($E114=0,"",(STIG_Metrics!E114-STIG_Metrics!H114)*$E114)</f>
        <v/>
      </c>
      <c r="R114" s="115" t="str">
        <f t="shared" si="32"/>
        <v/>
      </c>
      <c r="S114" s="32" t="str">
        <f t="shared" si="33"/>
        <v/>
      </c>
      <c r="T114" s="48" t="str">
        <f t="shared" si="34"/>
        <v/>
      </c>
      <c r="U114" s="237" t="str">
        <f t="shared" si="35"/>
        <v/>
      </c>
      <c r="V114" s="125" t="str">
        <f>IF($E114=0,"",STIG_Metrics!R114)</f>
        <v/>
      </c>
      <c r="W114" s="49" t="str">
        <f>IF($E114=0,"",STIG_Metrics!S114)</f>
        <v/>
      </c>
      <c r="X114" s="33" t="str">
        <f>IF($E114=0,"",STIG_Metrics!T114)</f>
        <v/>
      </c>
      <c r="Y114" s="34" t="str">
        <f t="shared" si="36"/>
        <v/>
      </c>
      <c r="Z114" s="34" t="str">
        <f t="shared" si="41"/>
        <v/>
      </c>
      <c r="AA114" s="50" t="str">
        <f t="shared" si="42"/>
        <v/>
      </c>
      <c r="AB114" s="34" t="str">
        <f t="shared" si="43"/>
        <v/>
      </c>
      <c r="AC114" s="208" t="str">
        <f>IF($E114=0,"",IF(STIG_Metrics!N114=60,0,($E114/STIG_Metrics!N114)/24))</f>
        <v/>
      </c>
      <c r="AD114" s="148" t="str">
        <f>IF($E114=0,"",IF(STIG_Metrics!O114=60,0,($E114/STIG_Metrics!O114)/24))</f>
        <v/>
      </c>
      <c r="AE114" s="146" t="str">
        <f>IF($E114=0,"",IF(STIG_Metrics!P114=60,0,($E114/STIG_Metrics!P114)/24))</f>
        <v/>
      </c>
      <c r="AF114" s="148" t="str">
        <f>IF($E114=0,"",IF(STIG_Metrics!Q114=60,0,($E114/STIG_Metrics!Q114)/24))</f>
        <v/>
      </c>
      <c r="AG114" s="148" t="str">
        <f t="shared" si="37"/>
        <v/>
      </c>
      <c r="AH114" s="146" t="str">
        <f t="shared" si="38"/>
        <v/>
      </c>
      <c r="AI114" s="149" t="str">
        <f>IF($E114=0,"",$E114/STIG_Metrics!N114)</f>
        <v/>
      </c>
      <c r="AJ114" s="149" t="str">
        <f>IF($E114=0,"",$E114/STIG_Metrics!O114)</f>
        <v/>
      </c>
      <c r="AK114" s="147" t="str">
        <f>IF($E114=0,"",$E114/STIG_Metrics!P114)</f>
        <v/>
      </c>
      <c r="AL114" s="149" t="str">
        <f>IF($E114=0,"",$E114/STIG_Metrics!Q114)</f>
        <v/>
      </c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89"/>
      <c r="AY114" s="243"/>
      <c r="AZ114" s="281"/>
    </row>
    <row r="115" spans="2:52" ht="39.950000000000003" customHeight="1">
      <c r="B115" s="285"/>
      <c r="C115" s="286"/>
      <c r="D115" s="277" t="str">
        <f>(STIG_Metrics!A115)</f>
        <v>VMware Horizon 7.13 Connection Server</v>
      </c>
      <c r="E115" s="218">
        <v>0</v>
      </c>
      <c r="F115" s="121"/>
      <c r="G115" s="118" t="str">
        <f t="shared" si="30"/>
        <v/>
      </c>
      <c r="H115" s="122" t="str">
        <f t="shared" si="39"/>
        <v/>
      </c>
      <c r="I115" s="123" t="str">
        <f t="shared" si="31"/>
        <v/>
      </c>
      <c r="J115" s="182" t="str">
        <f t="shared" si="40"/>
        <v/>
      </c>
      <c r="K115" s="187" t="str">
        <f>IF($E115=0,"",(STIG_Metrics!E115)*$E115)</f>
        <v/>
      </c>
      <c r="L115" s="31" t="str">
        <f>IF($E115=0,"",(STIG_Metrics!F115)*$E115)</f>
        <v/>
      </c>
      <c r="M115" s="47" t="str">
        <f>IF($E115=0,"",(STIG_Metrics!G115)*$E115)</f>
        <v/>
      </c>
      <c r="N115" s="31" t="str">
        <f>IF($E115=0,"",(STIG_Metrics!H115)*$E115)</f>
        <v/>
      </c>
      <c r="O115" s="31" t="str">
        <f>IF($E115=0,"",(STIG_Metrics!E115-STIG_Metrics!F115)*$E115)</f>
        <v/>
      </c>
      <c r="P115" s="47" t="str">
        <f>IF($E115=0,"",(STIG_Metrics!E115-STIG_Metrics!G115)*$E115)</f>
        <v/>
      </c>
      <c r="Q115" s="114" t="str">
        <f>IF($E115=0,"",(STIG_Metrics!E115-STIG_Metrics!H115)*$E115)</f>
        <v/>
      </c>
      <c r="R115" s="115" t="str">
        <f t="shared" si="32"/>
        <v/>
      </c>
      <c r="S115" s="32" t="str">
        <f t="shared" si="33"/>
        <v/>
      </c>
      <c r="T115" s="48" t="str">
        <f t="shared" si="34"/>
        <v/>
      </c>
      <c r="U115" s="237" t="str">
        <f t="shared" si="35"/>
        <v/>
      </c>
      <c r="V115" s="125" t="str">
        <f>IF($E115=0,"",STIG_Metrics!R115)</f>
        <v/>
      </c>
      <c r="W115" s="49" t="str">
        <f>IF($E115=0,"",STIG_Metrics!S115)</f>
        <v/>
      </c>
      <c r="X115" s="33" t="str">
        <f>IF($E115=0,"",STIG_Metrics!T115)</f>
        <v/>
      </c>
      <c r="Y115" s="34" t="str">
        <f t="shared" si="36"/>
        <v/>
      </c>
      <c r="Z115" s="34" t="str">
        <f t="shared" si="41"/>
        <v/>
      </c>
      <c r="AA115" s="50" t="str">
        <f t="shared" si="42"/>
        <v/>
      </c>
      <c r="AB115" s="34" t="str">
        <f t="shared" si="43"/>
        <v/>
      </c>
      <c r="AC115" s="208" t="str">
        <f>IF($E115=0,"",IF(STIG_Metrics!N115=60,0,($E115/STIG_Metrics!N115)/24))</f>
        <v/>
      </c>
      <c r="AD115" s="148" t="str">
        <f>IF($E115=0,"",IF(STIG_Metrics!O115=60,0,($E115/STIG_Metrics!O115)/24))</f>
        <v/>
      </c>
      <c r="AE115" s="146" t="str">
        <f>IF($E115=0,"",IF(STIG_Metrics!P115=60,0,($E115/STIG_Metrics!P115)/24))</f>
        <v/>
      </c>
      <c r="AF115" s="148" t="str">
        <f>IF($E115=0,"",IF(STIG_Metrics!Q115=60,0,($E115/STIG_Metrics!Q115)/24))</f>
        <v/>
      </c>
      <c r="AG115" s="148" t="str">
        <f t="shared" si="37"/>
        <v/>
      </c>
      <c r="AH115" s="146" t="str">
        <f t="shared" si="38"/>
        <v/>
      </c>
      <c r="AI115" s="149" t="str">
        <f>IF($E115=0,"",$E115/STIG_Metrics!N115)</f>
        <v/>
      </c>
      <c r="AJ115" s="149" t="str">
        <f>IF($E115=0,"",$E115/STIG_Metrics!O115)</f>
        <v/>
      </c>
      <c r="AK115" s="147" t="str">
        <f>IF($E115=0,"",$E115/STIG_Metrics!P115)</f>
        <v/>
      </c>
      <c r="AL115" s="149" t="str">
        <f>IF($E115=0,"",$E115/STIG_Metrics!Q115)</f>
        <v/>
      </c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89"/>
      <c r="AY115" s="243"/>
      <c r="AZ115" s="285"/>
    </row>
    <row r="116" spans="2:52" ht="39.950000000000003" customHeight="1">
      <c r="B116" s="285"/>
      <c r="C116" s="286"/>
      <c r="D116" s="277" t="str">
        <f>(STIG_Metrics!A116)</f>
        <v>Windows 7</v>
      </c>
      <c r="E116" s="218">
        <v>0</v>
      </c>
      <c r="F116" s="121"/>
      <c r="G116" s="118" t="str">
        <f t="shared" si="30"/>
        <v/>
      </c>
      <c r="H116" s="122" t="str">
        <f t="shared" si="39"/>
        <v/>
      </c>
      <c r="I116" s="123" t="str">
        <f t="shared" si="31"/>
        <v/>
      </c>
      <c r="J116" s="182" t="str">
        <f t="shared" si="40"/>
        <v/>
      </c>
      <c r="K116" s="187" t="str">
        <f>IF($E116=0,"",(STIG_Metrics!E116)*$E116)</f>
        <v/>
      </c>
      <c r="L116" s="31" t="str">
        <f>IF($E116=0,"",(STIG_Metrics!F116)*$E116)</f>
        <v/>
      </c>
      <c r="M116" s="47" t="str">
        <f>IF($E116=0,"",(STIG_Metrics!G116)*$E116)</f>
        <v/>
      </c>
      <c r="N116" s="31" t="str">
        <f>IF($E116=0,"",(STIG_Metrics!H116)*$E116)</f>
        <v/>
      </c>
      <c r="O116" s="31" t="str">
        <f>IF($E116=0,"",(STIG_Metrics!E116-STIG_Metrics!F116)*$E116)</f>
        <v/>
      </c>
      <c r="P116" s="47" t="str">
        <f>IF($E116=0,"",(STIG_Metrics!E116-STIG_Metrics!G116)*$E116)</f>
        <v/>
      </c>
      <c r="Q116" s="114" t="str">
        <f>IF($E116=0,"",(STIG_Metrics!E116-STIG_Metrics!H116)*$E116)</f>
        <v/>
      </c>
      <c r="R116" s="115" t="str">
        <f t="shared" si="32"/>
        <v/>
      </c>
      <c r="S116" s="32" t="str">
        <f t="shared" si="33"/>
        <v/>
      </c>
      <c r="T116" s="48" t="str">
        <f t="shared" si="34"/>
        <v/>
      </c>
      <c r="U116" s="237" t="str">
        <f t="shared" si="35"/>
        <v/>
      </c>
      <c r="V116" s="125" t="str">
        <f>IF($E116=0,"",STIG_Metrics!R116)</f>
        <v/>
      </c>
      <c r="W116" s="49" t="str">
        <f>IF($E116=0,"",STIG_Metrics!S116)</f>
        <v/>
      </c>
      <c r="X116" s="33" t="str">
        <f>IF($E116=0,"",STIG_Metrics!T116)</f>
        <v/>
      </c>
      <c r="Y116" s="34" t="str">
        <f t="shared" si="36"/>
        <v/>
      </c>
      <c r="Z116" s="34" t="str">
        <f t="shared" si="41"/>
        <v/>
      </c>
      <c r="AA116" s="50" t="str">
        <f t="shared" si="42"/>
        <v/>
      </c>
      <c r="AB116" s="34" t="str">
        <f t="shared" si="43"/>
        <v/>
      </c>
      <c r="AC116" s="102" t="str">
        <f>IF($E116=0,"",IF(STIG_Metrics!N116=60,0,($E116/STIG_Metrics!N116)/24))</f>
        <v/>
      </c>
      <c r="AD116" s="37" t="str">
        <f>IF($E116=0,"",IF(STIG_Metrics!O116=60,0,($E116/STIG_Metrics!O116)/24))</f>
        <v/>
      </c>
      <c r="AE116" s="35" t="str">
        <f>IF($E116=0,"",IF(STIG_Metrics!P116=60,0,($E116/STIG_Metrics!P116)/24))</f>
        <v/>
      </c>
      <c r="AF116" s="37" t="str">
        <f>IF($E116=0,"",IF(STIG_Metrics!Q116=60,0,($E116/STIG_Metrics!Q116)/24))</f>
        <v/>
      </c>
      <c r="AG116" s="37" t="str">
        <f t="shared" si="37"/>
        <v/>
      </c>
      <c r="AH116" s="35" t="str">
        <f t="shared" si="38"/>
        <v/>
      </c>
      <c r="AI116" s="38" t="str">
        <f>IF($E116=0,"",$E116/STIG_Metrics!N116)</f>
        <v/>
      </c>
      <c r="AJ116" s="38" t="str">
        <f>IF($E116=0,"",$E116/STIG_Metrics!O116)</f>
        <v/>
      </c>
      <c r="AK116" s="36" t="str">
        <f>IF($E116=0,"",$E116/STIG_Metrics!P116)</f>
        <v/>
      </c>
      <c r="AL116" s="151" t="str">
        <f>IF($E116=0,"",$E116/STIG_Metrics!Q116)</f>
        <v/>
      </c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89"/>
      <c r="AY116" s="243"/>
      <c r="AZ116" s="285"/>
    </row>
    <row r="117" spans="2:52" ht="39.950000000000003" customHeight="1" thickBot="1">
      <c r="B117" s="285"/>
      <c r="C117" s="286"/>
      <c r="D117" s="279" t="str">
        <f>(STIG_Metrics!A117)</f>
        <v>Windows Server 2008 R2 Member Server</v>
      </c>
      <c r="E117" s="280">
        <v>0</v>
      </c>
      <c r="F117" s="121"/>
      <c r="G117" s="163" t="str">
        <f t="shared" si="30"/>
        <v/>
      </c>
      <c r="H117" s="165" t="str">
        <f t="shared" si="39"/>
        <v/>
      </c>
      <c r="I117" s="166" t="str">
        <f t="shared" si="31"/>
        <v/>
      </c>
      <c r="J117" s="183" t="str">
        <f t="shared" si="40"/>
        <v/>
      </c>
      <c r="K117" s="188" t="str">
        <f>IF($E117=0,"",(STIG_Metrics!E117)*$E117)</f>
        <v/>
      </c>
      <c r="L117" s="189" t="str">
        <f>IF($E117=0,"",(STIG_Metrics!F117)*$E117)</f>
        <v/>
      </c>
      <c r="M117" s="190" t="str">
        <f>IF($E117=0,"",(STIG_Metrics!G117)*$E117)</f>
        <v/>
      </c>
      <c r="N117" s="189" t="str">
        <f>IF($E117=0,"",(STIG_Metrics!H117)*$E117)</f>
        <v/>
      </c>
      <c r="O117" s="189" t="str">
        <f>IF($E117=0,"",(STIG_Metrics!E117-STIG_Metrics!F117)*$E117)</f>
        <v/>
      </c>
      <c r="P117" s="190" t="str">
        <f>IF($E117=0,"",(STIG_Metrics!E117-STIG_Metrics!G117)*$E117)</f>
        <v/>
      </c>
      <c r="Q117" s="191" t="str">
        <f>IF($E117=0,"",(STIG_Metrics!E117-STIG_Metrics!H117)*$E117)</f>
        <v/>
      </c>
      <c r="R117" s="200" t="str">
        <f t="shared" si="32"/>
        <v/>
      </c>
      <c r="S117" s="201" t="str">
        <f t="shared" si="33"/>
        <v/>
      </c>
      <c r="T117" s="202" t="str">
        <f t="shared" si="34"/>
        <v/>
      </c>
      <c r="U117" s="238" t="str">
        <f t="shared" si="35"/>
        <v/>
      </c>
      <c r="V117" s="233" t="str">
        <f>IF($E117=0,"",STIG_Metrics!R117)</f>
        <v/>
      </c>
      <c r="W117" s="210" t="str">
        <f>IF($E117=0,"",STIG_Metrics!S117)</f>
        <v/>
      </c>
      <c r="X117" s="211" t="str">
        <f>IF($E117=0,"",STIG_Metrics!T117)</f>
        <v/>
      </c>
      <c r="Y117" s="212" t="str">
        <f t="shared" si="36"/>
        <v/>
      </c>
      <c r="Z117" s="212" t="str">
        <f t="shared" si="41"/>
        <v/>
      </c>
      <c r="AA117" s="164" t="str">
        <f t="shared" si="42"/>
        <v/>
      </c>
      <c r="AB117" s="212" t="str">
        <f t="shared" si="43"/>
        <v/>
      </c>
      <c r="AC117" s="209" t="str">
        <f>IF($E117=0,"",IF(STIG_Metrics!N117=60,0,($E117/STIG_Metrics!N117)/24))</f>
        <v/>
      </c>
      <c r="AD117" s="152" t="str">
        <f>IF($E117=0,"",IF(STIG_Metrics!O117=60,0,($E117/STIG_Metrics!O117)/24))</f>
        <v/>
      </c>
      <c r="AE117" s="153" t="str">
        <f>IF($E117=0,"",IF(STIG_Metrics!P117=60,0,($E117/STIG_Metrics!P117)/24))</f>
        <v/>
      </c>
      <c r="AF117" s="152" t="str">
        <f>IF($E117=0,"",IF(STIG_Metrics!Q117=60,0,($E117/STIG_Metrics!Q117)/24))</f>
        <v/>
      </c>
      <c r="AG117" s="152" t="str">
        <f t="shared" si="37"/>
        <v/>
      </c>
      <c r="AH117" s="153" t="str">
        <f t="shared" si="38"/>
        <v/>
      </c>
      <c r="AI117" s="154" t="str">
        <f>IF($E117=0,"",$E117/STIG_Metrics!N117)</f>
        <v/>
      </c>
      <c r="AJ117" s="154" t="str">
        <f>IF($E117=0,"",$E117/STIG_Metrics!O117)</f>
        <v/>
      </c>
      <c r="AK117" s="155" t="str">
        <f>IF($E117=0,"",$E117/STIG_Metrics!P117)</f>
        <v/>
      </c>
      <c r="AL117" s="156" t="str">
        <f>IF($E117=0,"",$E117/STIG_Metrics!Q117)</f>
        <v/>
      </c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89"/>
      <c r="AY117" s="243"/>
      <c r="AZ117" s="285"/>
    </row>
    <row r="118" spans="2:52" ht="15.75" hidden="1" thickTop="1">
      <c r="B118" s="285"/>
      <c r="C118" s="286"/>
      <c r="D118" s="108" t="s">
        <v>158</v>
      </c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57">
        <f t="shared" ref="AC118:AL118" si="44">SUM(AC12:AC117)</f>
        <v>4812.9499999999989</v>
      </c>
      <c r="AD118" s="157">
        <f t="shared" si="44"/>
        <v>854.7874999999998</v>
      </c>
      <c r="AE118" s="157">
        <f t="shared" si="44"/>
        <v>576.32187499999986</v>
      </c>
      <c r="AF118" s="157">
        <f t="shared" si="44"/>
        <v>105.12812500000001</v>
      </c>
      <c r="AG118" s="157">
        <f t="shared" si="44"/>
        <v>749.65937499999984</v>
      </c>
      <c r="AH118" s="157">
        <f t="shared" si="44"/>
        <v>471.19374999999991</v>
      </c>
      <c r="AI118" s="157">
        <f t="shared" si="44"/>
        <v>115510.80000000002</v>
      </c>
      <c r="AJ118" s="157">
        <f t="shared" si="44"/>
        <v>20548.150000000001</v>
      </c>
      <c r="AK118" s="157">
        <f t="shared" si="44"/>
        <v>13861.608333333334</v>
      </c>
      <c r="AL118" s="157">
        <f t="shared" si="44"/>
        <v>2675.9750000000004</v>
      </c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89"/>
      <c r="AY118" s="243"/>
      <c r="AZ118" s="285"/>
    </row>
    <row r="119" spans="2:52" hidden="1">
      <c r="B119" s="285"/>
      <c r="C119" s="286"/>
      <c r="D119" s="108" t="s">
        <v>158</v>
      </c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58">
        <f>AC118*3</f>
        <v>14438.849999999997</v>
      </c>
      <c r="AD119" s="158">
        <f t="shared" ref="AD119:AF119" si="45">AD118*3</f>
        <v>2564.3624999999993</v>
      </c>
      <c r="AE119" s="158">
        <f t="shared" si="45"/>
        <v>1728.9656249999996</v>
      </c>
      <c r="AF119" s="158">
        <f t="shared" si="45"/>
        <v>315.38437500000003</v>
      </c>
      <c r="AG119" s="159"/>
      <c r="AH119" s="159"/>
      <c r="AI119" s="159"/>
      <c r="AJ119" s="159"/>
      <c r="AK119" s="159"/>
      <c r="AL119" s="159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89"/>
      <c r="AY119" s="243"/>
      <c r="AZ119" s="285"/>
    </row>
    <row r="120" spans="2:52" ht="15.75" thickTop="1">
      <c r="B120" s="285"/>
      <c r="C120" s="286"/>
      <c r="D120" s="271"/>
      <c r="E120" s="259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91"/>
      <c r="AD120" s="91"/>
      <c r="AE120" s="91"/>
      <c r="AF120" s="91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285"/>
    </row>
    <row r="121" spans="2:52">
      <c r="B121" s="285"/>
      <c r="C121" s="285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258"/>
      <c r="AM121" s="285"/>
      <c r="AN121" s="285"/>
      <c r="AO121" s="285"/>
      <c r="AP121" s="285"/>
      <c r="AQ121" s="285"/>
      <c r="AR121" s="285"/>
      <c r="AS121" s="285"/>
      <c r="AT121" s="285"/>
      <c r="AU121" s="285"/>
      <c r="AV121" s="285"/>
      <c r="AW121" s="285"/>
      <c r="AX121" s="285"/>
      <c r="AY121" s="285"/>
      <c r="AZ121" s="285"/>
    </row>
    <row r="122" spans="2:52">
      <c r="L122" s="109" t="s">
        <v>153</v>
      </c>
      <c r="M122" s="109" t="s">
        <v>153</v>
      </c>
      <c r="N122" s="109" t="s">
        <v>153</v>
      </c>
      <c r="R122" s="109" t="s">
        <v>153</v>
      </c>
      <c r="V122" s="109" t="s">
        <v>153</v>
      </c>
      <c r="W122" s="109" t="s">
        <v>153</v>
      </c>
      <c r="X122" s="109" t="s">
        <v>153</v>
      </c>
      <c r="Y122" s="109" t="s">
        <v>153</v>
      </c>
      <c r="Z122" s="109" t="s">
        <v>153</v>
      </c>
      <c r="AA122" s="109" t="s">
        <v>153</v>
      </c>
      <c r="AB122" s="109" t="s">
        <v>153</v>
      </c>
      <c r="AC122" s="109" t="s">
        <v>153</v>
      </c>
      <c r="AD122" s="109" t="s">
        <v>153</v>
      </c>
      <c r="AE122" s="109" t="s">
        <v>153</v>
      </c>
      <c r="AF122" s="109" t="s">
        <v>153</v>
      </c>
      <c r="AG122" s="109" t="s">
        <v>153</v>
      </c>
      <c r="AH122" s="109" t="s">
        <v>153</v>
      </c>
      <c r="AI122" s="109" t="s">
        <v>153</v>
      </c>
      <c r="AJ122" s="109" t="s">
        <v>153</v>
      </c>
      <c r="AK122" s="109" t="s">
        <v>153</v>
      </c>
      <c r="AL122" s="109" t="s">
        <v>153</v>
      </c>
      <c r="AM122" s="109" t="s">
        <v>153</v>
      </c>
      <c r="AN122" s="109" t="s">
        <v>153</v>
      </c>
      <c r="AO122" s="109" t="s">
        <v>153</v>
      </c>
      <c r="AP122" s="109" t="s">
        <v>153</v>
      </c>
      <c r="AQ122" s="109" t="s">
        <v>153</v>
      </c>
      <c r="AR122" s="109" t="s">
        <v>153</v>
      </c>
      <c r="AS122" s="109" t="s">
        <v>153</v>
      </c>
      <c r="AT122" s="109" t="s">
        <v>153</v>
      </c>
      <c r="AU122" s="109" t="s">
        <v>153</v>
      </c>
      <c r="AV122" s="109" t="s">
        <v>153</v>
      </c>
      <c r="AW122" s="109" t="s">
        <v>153</v>
      </c>
      <c r="AX122" s="109" t="s">
        <v>153</v>
      </c>
    </row>
  </sheetData>
  <sheetProtection sheet="1" selectLockedCells="1"/>
  <mergeCells count="16">
    <mergeCell ref="AT10:AX10"/>
    <mergeCell ref="AI10:AL10"/>
    <mergeCell ref="AN10:AR10"/>
    <mergeCell ref="C2:O2"/>
    <mergeCell ref="D10:E10"/>
    <mergeCell ref="D6:E6"/>
    <mergeCell ref="D4:E5"/>
    <mergeCell ref="AC10:AH10"/>
    <mergeCell ref="D8:D9"/>
    <mergeCell ref="E8:E9"/>
    <mergeCell ref="G5:J5"/>
    <mergeCell ref="G4:U4"/>
    <mergeCell ref="G7:G9"/>
    <mergeCell ref="H7:H9"/>
    <mergeCell ref="I7:I9"/>
    <mergeCell ref="J7:J9"/>
  </mergeCells>
  <phoneticPr fontId="37" type="noConversion"/>
  <conditionalFormatting sqref="D12:D117">
    <cfRule type="expression" dxfId="14" priority="2">
      <formula>MOD(ROW(),2)=0</formula>
    </cfRule>
    <cfRule type="expression" dxfId="13" priority="3">
      <formula>MOD(ROW(),2)=1</formula>
    </cfRule>
  </conditionalFormatting>
  <conditionalFormatting sqref="E12:E117">
    <cfRule type="expression" dxfId="12" priority="5">
      <formula>MOD(ROW(),2)=0</formula>
    </cfRule>
    <cfRule type="expression" dxfId="11" priority="6">
      <formula>MOD(ROW(),2)=1</formula>
    </cfRule>
  </conditionalFormatting>
  <conditionalFormatting sqref="G12:H117">
    <cfRule type="expression" dxfId="10" priority="9">
      <formula>MOD(ROW(),2)=0</formula>
    </cfRule>
    <cfRule type="expression" dxfId="9" priority="10">
      <formula>MOD(ROW(),2)=1</formula>
    </cfRule>
  </conditionalFormatting>
  <conditionalFormatting sqref="I12:J117">
    <cfRule type="expression" dxfId="8" priority="11">
      <formula>MOD(ROW(),2)=0</formula>
    </cfRule>
    <cfRule type="expression" dxfId="7" priority="12">
      <formula>MOD(ROW(),2)=1</formula>
    </cfRule>
  </conditionalFormatting>
  <conditionalFormatting sqref="K12:Q117">
    <cfRule type="expression" dxfId="6" priority="20">
      <formula>MOD(ROW(),2)=0</formula>
    </cfRule>
    <cfRule type="expression" dxfId="5" priority="21">
      <formula>MOD(ROW(),2)=1</formula>
    </cfRule>
  </conditionalFormatting>
  <conditionalFormatting sqref="O8:O9 P9:Q9">
    <cfRule type="dataBar" priority="1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{2C9AAAED-6BF0-45C1-8E23-CDD395E3FE41}</x14:id>
        </ext>
      </extLst>
    </cfRule>
  </conditionalFormatting>
  <conditionalFormatting sqref="R12:AB117">
    <cfRule type="expression" dxfId="4" priority="30">
      <formula>MOD(ROW(),2)=0</formula>
    </cfRule>
    <cfRule type="expression" dxfId="3" priority="31">
      <formula>MOD(ROW(),2)=1</formula>
    </cfRule>
  </conditionalFormatting>
  <dataValidations count="2">
    <dataValidation type="decimal" allowBlank="1" showInputMessage="1" showErrorMessage="1" errorTitle="Data Validation" error="Must be a whole number or decimal." sqref="E7:E8" xr:uid="{00000000-0002-0000-0000-000000000000}">
      <formula1>0</formula1>
      <formula2>1000000</formula2>
    </dataValidation>
    <dataValidation type="whole" showInputMessage="1" showErrorMessage="1" errorTitle="Data Validation" error="Must be a whole number." sqref="E12:F117" xr:uid="{00000000-0002-0000-0000-000001000000}">
      <formula1>0</formula1>
      <formula2>1000000</formula2>
    </dataValidation>
  </dataValidations>
  <pageMargins left="0.7" right="0.7" top="0.75" bottom="0.75" header="0.3" footer="0.3"/>
  <pageSetup orientation="portrait" r:id="rId1"/>
  <ignoredErrors>
    <ignoredError sqref="D12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AAAED-6BF0-45C1-8E23-CDD395E3FE41}">
            <x14:dataBar minLength="0" maxLength="100" border="1" gradient="0" direction="leftToRight">
              <x14:cfvo type="num">
                <xm:f>0</xm:f>
              </x14:cfvo>
              <x14:cfvo type="num">
                <xm:f>1</xm:f>
              </x14:cfvo>
              <x14:borderColor rgb="FF684D00"/>
              <x14:negativeFillColor rgb="FFFF0000"/>
              <x14:axisColor rgb="FF000000"/>
            </x14:dataBar>
          </x14:cfRule>
          <xm:sqref>O8:O9 P9:Q9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499984740745262"/>
  </sheetPr>
  <dimension ref="CI2:CQ35"/>
  <sheetViews>
    <sheetView showGridLines="0" showRowColHeaders="0" zoomScaleNormal="100" workbookViewId="0">
      <selection activeCell="CP24" sqref="CP24"/>
    </sheetView>
  </sheetViews>
  <sheetFormatPr defaultColWidth="9.140625" defaultRowHeight="15"/>
  <cols>
    <col min="1" max="86" width="2.7109375" style="23" customWidth="1"/>
    <col min="87" max="87" width="3.42578125" style="23" hidden="1" customWidth="1"/>
    <col min="88" max="90" width="14.42578125" style="23" hidden="1" customWidth="1"/>
    <col min="91" max="91" width="25" style="23" hidden="1" customWidth="1"/>
    <col min="92" max="92" width="26" style="23" hidden="1" customWidth="1"/>
    <col min="93" max="93" width="15.7109375" style="23" hidden="1" customWidth="1"/>
    <col min="94" max="94" width="15.7109375" style="61" bestFit="1" customWidth="1"/>
    <col min="95" max="16384" width="9.140625" style="23"/>
  </cols>
  <sheetData>
    <row r="2" spans="88:94">
      <c r="CJ2" s="320" t="s">
        <v>80</v>
      </c>
      <c r="CK2" s="320"/>
      <c r="CL2" s="320"/>
      <c r="CM2" s="320"/>
      <c r="CN2" s="321"/>
      <c r="CP2" s="23"/>
    </row>
    <row r="3" spans="88:94">
      <c r="CJ3" s="62"/>
      <c r="CK3" s="62"/>
      <c r="CL3" s="59" t="s">
        <v>62</v>
      </c>
      <c r="CM3" s="59" t="s">
        <v>79</v>
      </c>
      <c r="CN3" s="64" t="s">
        <v>78</v>
      </c>
      <c r="CP3" s="23"/>
    </row>
    <row r="4" spans="88:94">
      <c r="CJ4" s="62" t="s">
        <v>69</v>
      </c>
      <c r="CK4" s="62"/>
      <c r="CL4" s="67">
        <f>Calculator!K7</f>
        <v>1540144</v>
      </c>
      <c r="CM4" s="65">
        <f>CL4/CL4</f>
        <v>1</v>
      </c>
      <c r="CN4" s="69">
        <f>CL4</f>
        <v>1540144</v>
      </c>
      <c r="CP4" s="23"/>
    </row>
    <row r="5" spans="88:94">
      <c r="CJ5" s="62" t="s">
        <v>101</v>
      </c>
      <c r="CK5" s="62"/>
      <c r="CL5" s="68">
        <f>Calculator!L7</f>
        <v>1266612</v>
      </c>
      <c r="CM5" s="66">
        <f>CL5/CL4</f>
        <v>0.82239842508232996</v>
      </c>
      <c r="CN5" s="70" t="str">
        <f t="shared" ref="CN5:CN7" si="0">TEXT(CL5,"#,##")&amp;CHAR(10)&amp;" ("&amp;TEXT(CM5,"0.0%")&amp;")"</f>
        <v>1,266,612
 (82.2%)</v>
      </c>
      <c r="CP5" s="23"/>
    </row>
    <row r="6" spans="88:94">
      <c r="CJ6" s="62" t="s">
        <v>159</v>
      </c>
      <c r="CK6" s="62"/>
      <c r="CL6" s="67">
        <f>Calculator!M7</f>
        <v>1355721</v>
      </c>
      <c r="CM6" s="65">
        <f>CL6/CL4</f>
        <v>0.88025600203617327</v>
      </c>
      <c r="CN6" s="71" t="str">
        <f t="shared" si="0"/>
        <v>1,355,721
 (88.0%)</v>
      </c>
      <c r="CO6" s="61"/>
      <c r="CP6" s="23"/>
    </row>
    <row r="7" spans="88:94">
      <c r="CJ7" s="62" t="s">
        <v>50</v>
      </c>
      <c r="CK7" s="62"/>
      <c r="CL7" s="68">
        <f>Calculator!N7</f>
        <v>1506503</v>
      </c>
      <c r="CM7" s="66">
        <f>CL7/CL4</f>
        <v>0.97815723724534853</v>
      </c>
      <c r="CN7" s="70" t="str">
        <f t="shared" si="0"/>
        <v>1,506,503
 (97.8%)</v>
      </c>
    </row>
    <row r="9" spans="88:94">
      <c r="CJ9" s="320" t="s">
        <v>81</v>
      </c>
      <c r="CK9" s="320"/>
      <c r="CL9" s="320"/>
      <c r="CM9" s="320"/>
      <c r="CN9" s="321"/>
    </row>
    <row r="10" spans="88:94">
      <c r="CJ10" s="62"/>
      <c r="CK10" s="62"/>
      <c r="CL10" s="59" t="s">
        <v>62</v>
      </c>
      <c r="CM10" s="59" t="s">
        <v>79</v>
      </c>
      <c r="CN10" s="64" t="s">
        <v>78</v>
      </c>
    </row>
    <row r="11" spans="88:94">
      <c r="CJ11" s="62" t="s">
        <v>69</v>
      </c>
      <c r="CK11" s="62"/>
      <c r="CL11" s="67">
        <f>Calculator!K7</f>
        <v>1540144</v>
      </c>
      <c r="CM11" s="65">
        <f>CL11/CL11</f>
        <v>1</v>
      </c>
      <c r="CN11" s="69">
        <f>CL11</f>
        <v>1540144</v>
      </c>
    </row>
    <row r="12" spans="88:94">
      <c r="CJ12" s="62" t="s">
        <v>101</v>
      </c>
      <c r="CK12" s="62"/>
      <c r="CL12" s="68">
        <f>Calculator!O7</f>
        <v>273532</v>
      </c>
      <c r="CM12" s="66">
        <f>CL12/CL11</f>
        <v>0.17760157491767004</v>
      </c>
      <c r="CN12" s="70" t="str">
        <f t="shared" ref="CN12:CN14" si="1">TEXT(CL12,"#,##")&amp;CHAR(10)&amp;" ("&amp;TEXT(CM12,"0.0%")&amp;")"</f>
        <v>273,532
 (17.8%)</v>
      </c>
    </row>
    <row r="13" spans="88:94">
      <c r="CJ13" s="62" t="s">
        <v>159</v>
      </c>
      <c r="CK13" s="62"/>
      <c r="CL13" s="67">
        <f>Calculator!P7</f>
        <v>184423</v>
      </c>
      <c r="CM13" s="65">
        <f>CL13/CL11</f>
        <v>0.11974399796382676</v>
      </c>
      <c r="CN13" s="71" t="str">
        <f t="shared" si="1"/>
        <v>184,423
 (12.0%)</v>
      </c>
    </row>
    <row r="14" spans="88:94">
      <c r="CJ14" s="62" t="s">
        <v>50</v>
      </c>
      <c r="CK14" s="62"/>
      <c r="CL14" s="68">
        <f>Calculator!Q7</f>
        <v>33641</v>
      </c>
      <c r="CM14" s="66">
        <f>CL14/CL11</f>
        <v>2.1842762754651513E-2</v>
      </c>
      <c r="CN14" s="70" t="str">
        <f t="shared" si="1"/>
        <v>33,641
 (2.2%)</v>
      </c>
    </row>
    <row r="26" spans="87:95" ht="15" customHeight="1"/>
    <row r="29" spans="87:95">
      <c r="CI29" s="55"/>
      <c r="CJ29" s="55"/>
      <c r="CK29" s="55"/>
      <c r="CL29" s="55"/>
      <c r="CM29" s="55"/>
      <c r="CN29" s="55"/>
    </row>
    <row r="30" spans="87:95">
      <c r="CI30" s="320" t="s">
        <v>77</v>
      </c>
      <c r="CJ30" s="321"/>
      <c r="CK30" s="321"/>
      <c r="CL30" s="321"/>
      <c r="CM30" s="321"/>
      <c r="CN30" s="321"/>
      <c r="CO30" s="321"/>
    </row>
    <row r="31" spans="87:95">
      <c r="CI31" s="56"/>
      <c r="CJ31" s="59" t="s">
        <v>101</v>
      </c>
      <c r="CK31" s="59" t="s">
        <v>159</v>
      </c>
      <c r="CL31" s="60" t="s">
        <v>50</v>
      </c>
      <c r="CM31" s="60" t="s">
        <v>102</v>
      </c>
      <c r="CN31" s="60" t="s">
        <v>160</v>
      </c>
      <c r="CO31" s="63" t="s">
        <v>78</v>
      </c>
      <c r="CP31" s="23"/>
      <c r="CQ31" s="61"/>
    </row>
    <row r="32" spans="87:95">
      <c r="CI32" s="56" t="s">
        <v>45</v>
      </c>
      <c r="CJ32" s="57">
        <f>Calculator!AU12</f>
        <v>11969483.399999997</v>
      </c>
      <c r="CK32" s="57">
        <f>Calculator!AU13</f>
        <v>12811563.449999997</v>
      </c>
      <c r="CL32" s="57">
        <f>Calculator!AU14</f>
        <v>14236453.349999998</v>
      </c>
      <c r="CM32" s="57">
        <f>CJ32+((CL32-CJ32)/2)</f>
        <v>13102968.374999996</v>
      </c>
      <c r="CN32" s="57">
        <f>CK32+((CL32-CK32)/2)</f>
        <v>13524008.399999999</v>
      </c>
      <c r="CO32" s="57">
        <f>CL32-CJ32</f>
        <v>2266969.9500000011</v>
      </c>
      <c r="CP32" s="23"/>
      <c r="CQ32" s="61"/>
    </row>
    <row r="33" spans="87:95">
      <c r="CI33" s="56" t="s">
        <v>46</v>
      </c>
      <c r="CJ33" s="58">
        <f>Calculator!AV12</f>
        <v>23938966.799999993</v>
      </c>
      <c r="CK33" s="58">
        <f>Calculator!AV13</f>
        <v>25623126.899999995</v>
      </c>
      <c r="CL33" s="58">
        <f>Calculator!AV14</f>
        <v>28472906.699999996</v>
      </c>
      <c r="CM33" s="58">
        <f t="shared" ref="CM33:CM35" si="2">CJ33+((CL33-CJ33)/2)</f>
        <v>26205936.749999993</v>
      </c>
      <c r="CN33" s="58">
        <f t="shared" ref="CN33:CN35" si="3">CK33+((CL33-CK33)/2)</f>
        <v>27048016.799999997</v>
      </c>
      <c r="CO33" s="58">
        <f t="shared" ref="CO33:CO35" si="4">CL33-CJ33</f>
        <v>4533939.9000000022</v>
      </c>
      <c r="CP33" s="23"/>
      <c r="CQ33" s="61"/>
    </row>
    <row r="34" spans="87:95">
      <c r="CI34" s="56" t="s">
        <v>47</v>
      </c>
      <c r="CJ34" s="57">
        <f>Calculator!AW12</f>
        <v>35908450.199999988</v>
      </c>
      <c r="CK34" s="57">
        <f>Calculator!AW13</f>
        <v>38434690.349999994</v>
      </c>
      <c r="CL34" s="57">
        <f>Calculator!AW14</f>
        <v>42709360.049999997</v>
      </c>
      <c r="CM34" s="57">
        <f t="shared" si="2"/>
        <v>39308905.124999993</v>
      </c>
      <c r="CN34" s="57">
        <f t="shared" si="3"/>
        <v>40572025.199999996</v>
      </c>
      <c r="CO34" s="57">
        <f t="shared" si="4"/>
        <v>6800909.8500000089</v>
      </c>
      <c r="CP34" s="23"/>
      <c r="CQ34" s="61"/>
    </row>
    <row r="35" spans="87:95">
      <c r="CI35" s="56" t="s">
        <v>48</v>
      </c>
      <c r="CJ35" s="58">
        <f>Calculator!AX12</f>
        <v>47877933.599999987</v>
      </c>
      <c r="CK35" s="58">
        <f>Calculator!AX13</f>
        <v>51246253.79999999</v>
      </c>
      <c r="CL35" s="58">
        <f>Calculator!AX14</f>
        <v>56945813.399999991</v>
      </c>
      <c r="CM35" s="58">
        <f t="shared" si="2"/>
        <v>52411873.499999985</v>
      </c>
      <c r="CN35" s="58">
        <f t="shared" si="3"/>
        <v>54096033.599999994</v>
      </c>
      <c r="CO35" s="58">
        <f t="shared" si="4"/>
        <v>9067879.8000000045</v>
      </c>
      <c r="CP35" s="23"/>
      <c r="CQ35" s="61"/>
    </row>
  </sheetData>
  <sheetProtection sheet="1" objects="1" scenarios="1" selectLockedCells="1" selectUnlockedCells="1"/>
  <mergeCells count="3">
    <mergeCell ref="CJ2:CN2"/>
    <mergeCell ref="CJ9:CN9"/>
    <mergeCell ref="CI30:CO3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AD119"/>
  <sheetViews>
    <sheetView zoomScaleNormal="100" workbookViewId="0">
      <pane ySplit="11" topLeftCell="A12" activePane="bottomLeft" state="frozen"/>
      <selection pane="bottomLeft" activeCell="H34" sqref="H34"/>
    </sheetView>
  </sheetViews>
  <sheetFormatPr defaultRowHeight="15"/>
  <cols>
    <col min="1" max="1" width="57.28515625" style="4" bestFit="1" customWidth="1"/>
    <col min="2" max="4" width="11.7109375" style="5" customWidth="1"/>
    <col min="5" max="5" width="18.7109375" customWidth="1"/>
    <col min="6" max="6" width="18.7109375" style="23" customWidth="1"/>
    <col min="7" max="8" width="18.7109375" customWidth="1"/>
    <col min="9" max="9" width="18.7109375" style="23" customWidth="1"/>
    <col min="10" max="11" width="18.7109375" customWidth="1"/>
    <col min="12" max="12" width="18.7109375" style="23" customWidth="1"/>
    <col min="13" max="14" width="18.7109375" customWidth="1"/>
    <col min="15" max="15" width="18.7109375" style="23" customWidth="1"/>
    <col min="16" max="16" width="18.7109375" customWidth="1"/>
    <col min="17" max="21" width="18.7109375" style="23" customWidth="1"/>
    <col min="22" max="22" width="18.7109375" customWidth="1"/>
    <col min="23" max="23" width="30.7109375" style="23" customWidth="1"/>
    <col min="24" max="25" width="30.7109375" customWidth="1"/>
    <col min="27" max="27" width="17.42578125" hidden="1" customWidth="1"/>
  </cols>
  <sheetData>
    <row r="1" spans="1:27" s="23" customFormat="1" ht="67.5" customHeight="1">
      <c r="A1" s="322" t="s">
        <v>222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4"/>
    </row>
    <row r="2" spans="1:27" s="23" customFormat="1" ht="15" hidden="1" customHeight="1">
      <c r="A2" s="30" t="s">
        <v>61</v>
      </c>
      <c r="B2" s="247"/>
      <c r="C2" s="72"/>
      <c r="D2" s="30"/>
      <c r="E2" s="30"/>
      <c r="F2" s="72"/>
      <c r="G2" s="30"/>
      <c r="H2" s="30"/>
      <c r="I2" s="72"/>
      <c r="J2" s="30"/>
      <c r="K2" s="30"/>
      <c r="L2" s="106"/>
      <c r="M2" s="30"/>
      <c r="N2" s="30"/>
      <c r="O2" s="106"/>
      <c r="P2" s="30"/>
      <c r="Q2" s="30"/>
      <c r="R2" s="106"/>
      <c r="S2" s="30"/>
      <c r="T2" s="30"/>
      <c r="U2" s="106"/>
      <c r="V2" s="30"/>
      <c r="W2" s="72"/>
      <c r="X2" s="30"/>
    </row>
    <row r="3" spans="1:27" s="23" customFormat="1" ht="15" hidden="1" customHeight="1">
      <c r="A3" s="30" t="s">
        <v>61</v>
      </c>
      <c r="B3" s="247"/>
      <c r="C3" s="72"/>
      <c r="D3" s="30"/>
      <c r="E3" s="30"/>
      <c r="F3" s="72"/>
      <c r="G3" s="30"/>
      <c r="H3" s="30"/>
      <c r="I3" s="72"/>
      <c r="J3" s="30"/>
      <c r="K3" s="30"/>
      <c r="L3" s="106"/>
      <c r="M3" s="30"/>
      <c r="N3" s="30"/>
      <c r="O3" s="106"/>
      <c r="P3" s="30"/>
      <c r="Q3" s="30"/>
      <c r="R3" s="106"/>
      <c r="S3" s="30"/>
      <c r="T3" s="30"/>
      <c r="U3" s="106"/>
      <c r="V3" s="30"/>
      <c r="W3" s="72"/>
      <c r="X3" s="30"/>
    </row>
    <row r="4" spans="1:27" s="23" customFormat="1" ht="15" hidden="1" customHeight="1">
      <c r="A4" s="30" t="s">
        <v>61</v>
      </c>
      <c r="B4" s="247"/>
      <c r="C4" s="72"/>
      <c r="D4" s="30"/>
      <c r="E4" s="30"/>
      <c r="F4" s="72"/>
      <c r="G4" s="30"/>
      <c r="H4" s="30"/>
      <c r="I4" s="72"/>
      <c r="J4" s="30"/>
      <c r="K4" s="30"/>
      <c r="L4" s="106"/>
      <c r="M4" s="30"/>
      <c r="N4" s="30"/>
      <c r="O4" s="106"/>
      <c r="P4" s="30"/>
      <c r="Q4" s="30"/>
      <c r="R4" s="106"/>
      <c r="S4" s="30"/>
      <c r="T4" s="30"/>
      <c r="U4" s="106"/>
      <c r="V4" s="30"/>
      <c r="W4" s="72"/>
      <c r="X4" s="30"/>
    </row>
    <row r="5" spans="1:27" s="23" customFormat="1" ht="15" hidden="1" customHeight="1">
      <c r="A5" s="30" t="s">
        <v>61</v>
      </c>
      <c r="B5" s="247"/>
      <c r="C5" s="72"/>
      <c r="D5" s="30"/>
      <c r="E5" s="30"/>
      <c r="F5" s="72"/>
      <c r="G5" s="30"/>
      <c r="H5" s="30"/>
      <c r="I5" s="72"/>
      <c r="J5" s="30"/>
      <c r="K5" s="30"/>
      <c r="L5" s="106"/>
      <c r="M5" s="30"/>
      <c r="N5" s="30"/>
      <c r="O5" s="106"/>
      <c r="P5" s="30"/>
      <c r="Q5" s="30"/>
      <c r="R5" s="106"/>
      <c r="S5" s="30"/>
      <c r="T5" s="30"/>
      <c r="U5" s="106"/>
      <c r="V5" s="30"/>
      <c r="W5" s="72"/>
      <c r="X5" s="30"/>
    </row>
    <row r="6" spans="1:27" s="23" customFormat="1" ht="15" hidden="1" customHeight="1">
      <c r="A6" s="30" t="s">
        <v>61</v>
      </c>
      <c r="B6" s="247"/>
      <c r="C6" s="72"/>
      <c r="D6" s="30"/>
      <c r="E6" s="30"/>
      <c r="F6" s="72"/>
      <c r="G6" s="30"/>
      <c r="H6" s="30"/>
      <c r="I6" s="72"/>
      <c r="J6" s="30"/>
      <c r="K6" s="30"/>
      <c r="L6" s="106"/>
      <c r="M6" s="30"/>
      <c r="N6" s="30"/>
      <c r="O6" s="106"/>
      <c r="P6" s="30"/>
      <c r="Q6" s="30"/>
      <c r="R6" s="106"/>
      <c r="S6" s="30"/>
      <c r="T6" s="30"/>
      <c r="U6" s="106"/>
      <c r="V6" s="30"/>
      <c r="W6" s="72"/>
      <c r="X6" s="30"/>
    </row>
    <row r="7" spans="1:27" s="23" customFormat="1" ht="15" hidden="1" customHeight="1">
      <c r="A7" s="30" t="s">
        <v>61</v>
      </c>
      <c r="B7" s="247"/>
      <c r="C7" s="72"/>
      <c r="D7" s="30"/>
      <c r="E7" s="30"/>
      <c r="F7" s="72"/>
      <c r="G7" s="30"/>
      <c r="H7" s="30"/>
      <c r="I7" s="72"/>
      <c r="J7" s="30"/>
      <c r="K7" s="30"/>
      <c r="L7" s="106"/>
      <c r="M7" s="30"/>
      <c r="N7" s="30"/>
      <c r="O7" s="106"/>
      <c r="P7" s="30"/>
      <c r="Q7" s="30"/>
      <c r="R7" s="106"/>
      <c r="S7" s="30"/>
      <c r="T7" s="30"/>
      <c r="U7" s="106"/>
      <c r="V7" s="30"/>
      <c r="W7" s="72"/>
      <c r="X7" s="30"/>
    </row>
    <row r="8" spans="1:27" s="23" customFormat="1" ht="15" hidden="1" customHeight="1">
      <c r="A8" s="106" t="s">
        <v>61</v>
      </c>
      <c r="B8" s="247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spans="1:27" s="23" customFormat="1" ht="15" hidden="1" customHeight="1">
      <c r="A9" s="30" t="s">
        <v>61</v>
      </c>
      <c r="B9" s="247"/>
      <c r="C9" s="72"/>
      <c r="D9" s="30"/>
      <c r="E9" s="30"/>
      <c r="F9" s="72"/>
      <c r="G9" s="30"/>
      <c r="H9" s="30"/>
      <c r="I9" s="72"/>
      <c r="J9" s="30"/>
      <c r="K9" s="30"/>
      <c r="L9" s="106"/>
      <c r="M9" s="30"/>
      <c r="N9" s="30"/>
      <c r="O9" s="106"/>
      <c r="P9" s="30"/>
      <c r="Q9" s="30"/>
      <c r="R9" s="106"/>
      <c r="S9" s="30"/>
      <c r="T9" s="30"/>
      <c r="U9" s="106"/>
      <c r="V9" s="30"/>
      <c r="W9" s="72"/>
      <c r="X9" s="30"/>
    </row>
    <row r="10" spans="1:27" s="3" customFormat="1" ht="15" hidden="1" customHeight="1">
      <c r="A10" s="30" t="s">
        <v>61</v>
      </c>
      <c r="B10" s="247"/>
    </row>
    <row r="11" spans="1:27" s="3" customFormat="1" ht="60" customHeight="1">
      <c r="A11" s="19" t="s">
        <v>3</v>
      </c>
      <c r="B11" s="19" t="s">
        <v>163</v>
      </c>
      <c r="C11" s="20" t="s">
        <v>94</v>
      </c>
      <c r="D11" s="20" t="s">
        <v>130</v>
      </c>
      <c r="E11" s="20" t="s">
        <v>6</v>
      </c>
      <c r="F11" s="20" t="s">
        <v>92</v>
      </c>
      <c r="G11" s="20" t="s">
        <v>131</v>
      </c>
      <c r="H11" s="20" t="s">
        <v>7</v>
      </c>
      <c r="I11" s="20" t="s">
        <v>93</v>
      </c>
      <c r="J11" s="20" t="s">
        <v>132</v>
      </c>
      <c r="K11" s="20" t="s">
        <v>41</v>
      </c>
      <c r="L11" s="20" t="s">
        <v>97</v>
      </c>
      <c r="M11" s="20" t="s">
        <v>133</v>
      </c>
      <c r="N11" s="20" t="s">
        <v>8</v>
      </c>
      <c r="O11" s="20" t="s">
        <v>98</v>
      </c>
      <c r="P11" s="20" t="s">
        <v>129</v>
      </c>
      <c r="Q11" s="20" t="s">
        <v>9</v>
      </c>
      <c r="R11" s="20" t="s">
        <v>99</v>
      </c>
      <c r="S11" s="20" t="s">
        <v>134</v>
      </c>
      <c r="T11" s="20" t="s">
        <v>54</v>
      </c>
      <c r="U11" s="20" t="s">
        <v>100</v>
      </c>
      <c r="V11" s="20" t="s">
        <v>135</v>
      </c>
      <c r="W11" s="21" t="s">
        <v>96</v>
      </c>
      <c r="X11" s="21" t="s">
        <v>95</v>
      </c>
      <c r="Y11" s="22" t="s">
        <v>10</v>
      </c>
      <c r="AA11" s="256" t="s">
        <v>164</v>
      </c>
    </row>
    <row r="12" spans="1:27" s="79" customFormat="1" ht="20.100000000000001" customHeight="1">
      <c r="A12" s="7" t="s">
        <v>83</v>
      </c>
      <c r="B12" s="257" t="s">
        <v>165</v>
      </c>
      <c r="C12" s="73"/>
      <c r="D12" s="73"/>
      <c r="E12" s="73">
        <v>36</v>
      </c>
      <c r="F12" s="74">
        <v>0</v>
      </c>
      <c r="G12" s="74">
        <v>0</v>
      </c>
      <c r="H12" s="75">
        <v>20</v>
      </c>
      <c r="I12" s="75">
        <f t="shared" ref="I12:I50" si="0">H12-F12</f>
        <v>20</v>
      </c>
      <c r="J12" s="75">
        <f t="shared" ref="J12:J50" si="1">H12-G12</f>
        <v>20</v>
      </c>
      <c r="K12" s="76">
        <f>PRODUCT($E12,Calculator!$E$8)</f>
        <v>162</v>
      </c>
      <c r="L12" s="75">
        <f>PRODUCT($I12,Calculator!$E$8)</f>
        <v>90</v>
      </c>
      <c r="M12" s="75">
        <f>PRODUCT($J12,Calculator!$E$8)</f>
        <v>90</v>
      </c>
      <c r="N12" s="77">
        <f>60/($E12*Calculator!$E$8)</f>
        <v>0.37037037037037035</v>
      </c>
      <c r="O12" s="77">
        <f>IF(($E12=$F12),60,60/(($E12-$F12)*Calculator!$E$8))</f>
        <v>0.37037037037037035</v>
      </c>
      <c r="P12" s="77">
        <f>IF(($E12=$G12),60,60/(($E12-$G12)*Calculator!$E$8))</f>
        <v>0.37037037037037035</v>
      </c>
      <c r="Q12" s="77">
        <f>IF(($E12=$H12),60,60/(($E12-$H12)*Calculator!$E$8))</f>
        <v>0.83333333333333337</v>
      </c>
      <c r="R12" s="78">
        <f t="shared" ref="R12:R50" si="2">(O12-N12)/N12</f>
        <v>0</v>
      </c>
      <c r="S12" s="26">
        <f t="shared" ref="S12:S50" si="3">(P12-N12)/N12</f>
        <v>0</v>
      </c>
      <c r="T12" s="78">
        <f t="shared" ref="T12:T50" si="4">(Q12-N12)/N12</f>
        <v>1.2500000000000002</v>
      </c>
      <c r="U12" s="78">
        <f t="shared" ref="U12:U50" si="5">(Q12-O12)/O12</f>
        <v>1.2500000000000002</v>
      </c>
      <c r="V12" s="78">
        <f t="shared" ref="V12:V50" si="6">(Q12-P12)/P12</f>
        <v>1.2500000000000002</v>
      </c>
      <c r="W12" s="248">
        <f t="shared" ref="W12:W50" si="7" xml:space="preserve"> F12/E12</f>
        <v>0</v>
      </c>
      <c r="X12" s="249">
        <f t="shared" ref="X12:X50" si="8" xml:space="preserve"> G12/E12</f>
        <v>0</v>
      </c>
      <c r="Y12" s="250">
        <f t="shared" ref="Y12:Y50" si="9">H12/E12</f>
        <v>0.55555555555555558</v>
      </c>
      <c r="AA12" s="254" t="s">
        <v>165</v>
      </c>
    </row>
    <row r="13" spans="1:27" s="80" customFormat="1" ht="20.100000000000001" customHeight="1">
      <c r="A13" s="7" t="s">
        <v>84</v>
      </c>
      <c r="B13" s="257" t="s">
        <v>165</v>
      </c>
      <c r="C13" s="73"/>
      <c r="D13" s="73"/>
      <c r="E13" s="73">
        <v>7</v>
      </c>
      <c r="F13" s="74">
        <v>0</v>
      </c>
      <c r="G13" s="74">
        <v>0</v>
      </c>
      <c r="H13" s="75">
        <v>3</v>
      </c>
      <c r="I13" s="75">
        <f t="shared" si="0"/>
        <v>3</v>
      </c>
      <c r="J13" s="75">
        <f t="shared" si="1"/>
        <v>3</v>
      </c>
      <c r="K13" s="76">
        <f>PRODUCT($E13,Calculator!$E$8)</f>
        <v>31.5</v>
      </c>
      <c r="L13" s="75">
        <f>PRODUCT($I13,Calculator!$E$8)</f>
        <v>13.5</v>
      </c>
      <c r="M13" s="75">
        <f>PRODUCT($J13,Calculator!$E$8)</f>
        <v>13.5</v>
      </c>
      <c r="N13" s="77">
        <f>60/($E13*Calculator!$E$8)</f>
        <v>1.9047619047619047</v>
      </c>
      <c r="O13" s="77">
        <f>IF(($E13=$F13),60,60/(($E13-$F13)*Calculator!$E$8))</f>
        <v>1.9047619047619047</v>
      </c>
      <c r="P13" s="77">
        <f>IF(($E13=$G13),60,60/(($E13-$G13)*Calculator!$E$8))</f>
        <v>1.9047619047619047</v>
      </c>
      <c r="Q13" s="77">
        <f>IF(($E13=$H13),60,60/(($E13-$H13)*Calculator!$E$8))</f>
        <v>3.3333333333333335</v>
      </c>
      <c r="R13" s="78">
        <f t="shared" si="2"/>
        <v>0</v>
      </c>
      <c r="S13" s="26">
        <f t="shared" si="3"/>
        <v>0</v>
      </c>
      <c r="T13" s="78">
        <f t="shared" si="4"/>
        <v>0.75000000000000022</v>
      </c>
      <c r="U13" s="78">
        <f t="shared" si="5"/>
        <v>0.75000000000000022</v>
      </c>
      <c r="V13" s="78">
        <f t="shared" si="6"/>
        <v>0.75000000000000022</v>
      </c>
      <c r="W13" s="248">
        <f t="shared" si="7"/>
        <v>0</v>
      </c>
      <c r="X13" s="249">
        <f t="shared" si="8"/>
        <v>0</v>
      </c>
      <c r="Y13" s="251">
        <f t="shared" si="9"/>
        <v>0.42857142857142855</v>
      </c>
      <c r="AA13" s="255" t="s">
        <v>166</v>
      </c>
    </row>
    <row r="14" spans="1:27" ht="20.100000000000001" customHeight="1">
      <c r="A14" s="15" t="s">
        <v>71</v>
      </c>
      <c r="B14" s="257" t="s">
        <v>167</v>
      </c>
      <c r="C14" s="9"/>
      <c r="D14" s="9"/>
      <c r="E14" s="10">
        <v>26</v>
      </c>
      <c r="F14" s="10">
        <v>0</v>
      </c>
      <c r="G14" s="10">
        <v>0</v>
      </c>
      <c r="H14" s="10">
        <v>25</v>
      </c>
      <c r="I14" s="10">
        <f t="shared" si="0"/>
        <v>25</v>
      </c>
      <c r="J14" s="75">
        <f t="shared" si="1"/>
        <v>25</v>
      </c>
      <c r="K14" s="10">
        <f>PRODUCT($E14,Calculator!$E$8)</f>
        <v>117</v>
      </c>
      <c r="L14" s="11">
        <f>PRODUCT($I14,Calculator!$E$8)</f>
        <v>112.5</v>
      </c>
      <c r="M14" s="75">
        <f>PRODUCT($J14,Calculator!$E$8)</f>
        <v>112.5</v>
      </c>
      <c r="N14" s="12">
        <f>60/($E14*Calculator!$E$8)</f>
        <v>0.51282051282051277</v>
      </c>
      <c r="O14" s="12">
        <f>IF(($E14=$F14),60,60/(($E14-$F14)*Calculator!$E$8))</f>
        <v>0.51282051282051277</v>
      </c>
      <c r="P14" s="77">
        <f>IF(($E14=$G14),60,60/(($E14-$G14)*Calculator!$E$8))</f>
        <v>0.51282051282051277</v>
      </c>
      <c r="Q14" s="24">
        <f>IF(($E14=$H14),60,60/(($E14-$H14)*Calculator!$E$8))</f>
        <v>13.333333333333334</v>
      </c>
      <c r="R14" s="26">
        <f t="shared" si="2"/>
        <v>0</v>
      </c>
      <c r="S14" s="26">
        <f t="shared" si="3"/>
        <v>0</v>
      </c>
      <c r="T14" s="26">
        <f t="shared" si="4"/>
        <v>25.000000000000004</v>
      </c>
      <c r="U14" s="26">
        <f t="shared" si="5"/>
        <v>25.000000000000004</v>
      </c>
      <c r="V14" s="78">
        <f t="shared" si="6"/>
        <v>25.000000000000004</v>
      </c>
      <c r="W14" s="248">
        <f t="shared" si="7"/>
        <v>0</v>
      </c>
      <c r="X14" s="249">
        <f t="shared" si="8"/>
        <v>0</v>
      </c>
      <c r="Y14" s="251">
        <f t="shared" si="9"/>
        <v>0.96153846153846156</v>
      </c>
      <c r="AA14" s="254" t="s">
        <v>167</v>
      </c>
    </row>
    <row r="15" spans="1:27" ht="20.100000000000001" customHeight="1">
      <c r="A15" s="15" t="s">
        <v>173</v>
      </c>
      <c r="B15" s="257" t="s">
        <v>167</v>
      </c>
      <c r="C15" s="9"/>
      <c r="D15" s="9"/>
      <c r="E15" s="10">
        <v>23</v>
      </c>
      <c r="F15" s="11">
        <v>0</v>
      </c>
      <c r="G15" s="11">
        <v>0</v>
      </c>
      <c r="H15" s="11">
        <v>23</v>
      </c>
      <c r="I15" s="11">
        <f t="shared" si="0"/>
        <v>23</v>
      </c>
      <c r="J15" s="75">
        <f t="shared" si="1"/>
        <v>23</v>
      </c>
      <c r="K15" s="28">
        <f>PRODUCT($E15,Calculator!$E$8)</f>
        <v>103.5</v>
      </c>
      <c r="L15" s="11">
        <f>PRODUCT($I15,Calculator!$E$8)</f>
        <v>103.5</v>
      </c>
      <c r="M15" s="75">
        <f>PRODUCT($J15,Calculator!$E$8)</f>
        <v>103.5</v>
      </c>
      <c r="N15" s="12">
        <f>60/($E15*Calculator!$E$8)</f>
        <v>0.57971014492753625</v>
      </c>
      <c r="O15" s="12">
        <f>IF(($E15=$F15),60,60/(($E15-$F15)*Calculator!$E$8))</f>
        <v>0.57971014492753625</v>
      </c>
      <c r="P15" s="77">
        <f>IF(($E15=$G15),60,60/(($E15-$G15)*Calculator!$E$8))</f>
        <v>0.57971014492753625</v>
      </c>
      <c r="Q15" s="12">
        <f>IF(($E15=$H15),60,60/(($E15-$H15)*Calculator!$E$8))</f>
        <v>60</v>
      </c>
      <c r="R15" s="26">
        <f t="shared" si="2"/>
        <v>0</v>
      </c>
      <c r="S15" s="26">
        <f t="shared" si="3"/>
        <v>0</v>
      </c>
      <c r="T15" s="26">
        <f t="shared" si="4"/>
        <v>102.49999999999999</v>
      </c>
      <c r="U15" s="26">
        <f t="shared" si="5"/>
        <v>102.49999999999999</v>
      </c>
      <c r="V15" s="78">
        <f t="shared" si="6"/>
        <v>102.49999999999999</v>
      </c>
      <c r="W15" s="248">
        <f t="shared" si="7"/>
        <v>0</v>
      </c>
      <c r="X15" s="249">
        <f t="shared" si="8"/>
        <v>0</v>
      </c>
      <c r="Y15" s="251">
        <f t="shared" si="9"/>
        <v>1</v>
      </c>
    </row>
    <row r="16" spans="1:27" ht="20.100000000000001" customHeight="1">
      <c r="A16" s="7" t="s">
        <v>174</v>
      </c>
      <c r="B16" s="257" t="s">
        <v>165</v>
      </c>
      <c r="C16" s="9"/>
      <c r="D16" s="9"/>
      <c r="E16" s="10">
        <v>23</v>
      </c>
      <c r="F16" s="11">
        <v>0</v>
      </c>
      <c r="G16" s="11">
        <v>0</v>
      </c>
      <c r="H16" s="13">
        <v>22</v>
      </c>
      <c r="I16" s="10">
        <f t="shared" si="0"/>
        <v>22</v>
      </c>
      <c r="J16" s="75">
        <f t="shared" si="1"/>
        <v>22</v>
      </c>
      <c r="K16" s="10">
        <f>PRODUCT($E16,Calculator!$E$8)</f>
        <v>103.5</v>
      </c>
      <c r="L16" s="13">
        <f>PRODUCT($I16,Calculator!$E$8)</f>
        <v>99</v>
      </c>
      <c r="M16" s="75">
        <f>PRODUCT($J16,Calculator!$E$8)</f>
        <v>99</v>
      </c>
      <c r="N16" s="14">
        <f>60/($E16*Calculator!$E$8)</f>
        <v>0.57971014492753625</v>
      </c>
      <c r="O16" s="12">
        <f>IF(($E16=$F16),60,60/(($E16-$F16)*Calculator!$E$8))</f>
        <v>0.57971014492753625</v>
      </c>
      <c r="P16" s="77">
        <f>IF(($E16=$G16),60,60/(($E16-$G16)*Calculator!$E$8))</f>
        <v>0.57971014492753625</v>
      </c>
      <c r="Q16" s="25">
        <f>IF(($E16=$H16),60,60/(($E16-$H16)*Calculator!$E$8))</f>
        <v>13.333333333333334</v>
      </c>
      <c r="R16" s="27">
        <f t="shared" si="2"/>
        <v>0</v>
      </c>
      <c r="S16" s="26">
        <f t="shared" si="3"/>
        <v>0</v>
      </c>
      <c r="T16" s="26">
        <f t="shared" si="4"/>
        <v>22</v>
      </c>
      <c r="U16" s="27">
        <f t="shared" si="5"/>
        <v>22</v>
      </c>
      <c r="V16" s="78">
        <f t="shared" si="6"/>
        <v>22</v>
      </c>
      <c r="W16" s="248">
        <f t="shared" si="7"/>
        <v>0</v>
      </c>
      <c r="X16" s="249">
        <f t="shared" si="8"/>
        <v>0</v>
      </c>
      <c r="Y16" s="251">
        <f t="shared" si="9"/>
        <v>0.95652173913043481</v>
      </c>
    </row>
    <row r="17" spans="1:30" ht="20.100000000000001" customHeight="1">
      <c r="A17" s="7" t="s">
        <v>175</v>
      </c>
      <c r="B17" s="257" t="s">
        <v>167</v>
      </c>
      <c r="C17" s="9"/>
      <c r="D17" s="9"/>
      <c r="E17" s="10">
        <v>26</v>
      </c>
      <c r="F17" s="11">
        <v>0</v>
      </c>
      <c r="G17" s="11">
        <v>0</v>
      </c>
      <c r="H17" s="13">
        <v>26</v>
      </c>
      <c r="I17" s="11">
        <f t="shared" si="0"/>
        <v>26</v>
      </c>
      <c r="J17" s="75">
        <f t="shared" si="1"/>
        <v>26</v>
      </c>
      <c r="K17" s="28">
        <f>PRODUCT($E17,Calculator!$E$8)</f>
        <v>117</v>
      </c>
      <c r="L17" s="13">
        <f>PRODUCT($I17,Calculator!$E$8)</f>
        <v>117</v>
      </c>
      <c r="M17" s="75">
        <f>PRODUCT($J17,Calculator!$E$8)</f>
        <v>117</v>
      </c>
      <c r="N17" s="12">
        <f>60/($E17*Calculator!$E$8)</f>
        <v>0.51282051282051277</v>
      </c>
      <c r="O17" s="12">
        <f>IF(($E17=$F17),60,60/(($E17-$F17)*Calculator!$E$8))</f>
        <v>0.51282051282051277</v>
      </c>
      <c r="P17" s="77">
        <f>IF(($E17=$G17),60,60/(($E17-$G17)*Calculator!$E$8))</f>
        <v>0.51282051282051277</v>
      </c>
      <c r="Q17" s="12">
        <f>IF(($E17=$H17),60,60/(($E17-$H17)*Calculator!$E$8))</f>
        <v>60</v>
      </c>
      <c r="R17" s="26">
        <f t="shared" si="2"/>
        <v>0</v>
      </c>
      <c r="S17" s="26">
        <f t="shared" si="3"/>
        <v>0</v>
      </c>
      <c r="T17" s="26">
        <f t="shared" si="4"/>
        <v>116.00000000000001</v>
      </c>
      <c r="U17" s="26">
        <f t="shared" si="5"/>
        <v>116.00000000000001</v>
      </c>
      <c r="V17" s="78">
        <f t="shared" si="6"/>
        <v>116.00000000000001</v>
      </c>
      <c r="W17" s="248">
        <f t="shared" si="7"/>
        <v>0</v>
      </c>
      <c r="X17" s="249">
        <f t="shared" si="8"/>
        <v>0</v>
      </c>
      <c r="Y17" s="251">
        <f t="shared" si="9"/>
        <v>1</v>
      </c>
    </row>
    <row r="18" spans="1:30" ht="20.100000000000001" customHeight="1">
      <c r="A18" s="7" t="s">
        <v>176</v>
      </c>
      <c r="B18" s="257" t="s">
        <v>165</v>
      </c>
      <c r="C18" s="9" t="s">
        <v>11</v>
      </c>
      <c r="D18" s="9" t="s">
        <v>11</v>
      </c>
      <c r="E18" s="10">
        <v>26</v>
      </c>
      <c r="F18" s="11">
        <v>22</v>
      </c>
      <c r="G18" s="11">
        <v>25</v>
      </c>
      <c r="H18" s="13">
        <v>25</v>
      </c>
      <c r="I18" s="11">
        <f t="shared" si="0"/>
        <v>3</v>
      </c>
      <c r="J18" s="75">
        <f t="shared" si="1"/>
        <v>0</v>
      </c>
      <c r="K18" s="28">
        <f>PRODUCT($E18,Calculator!$E$8)</f>
        <v>117</v>
      </c>
      <c r="L18" s="13">
        <f>PRODUCT($I18,Calculator!$E$8)</f>
        <v>13.5</v>
      </c>
      <c r="M18" s="75">
        <f>PRODUCT($J18,Calculator!$E$8)</f>
        <v>0</v>
      </c>
      <c r="N18" s="12">
        <f>60/($E18*Calculator!$E$8)</f>
        <v>0.51282051282051277</v>
      </c>
      <c r="O18" s="12">
        <f>IF(($E18=$F18),60,60/(($E18-$F18)*Calculator!$E$8))</f>
        <v>3.3333333333333335</v>
      </c>
      <c r="P18" s="77">
        <f>IF(($E18=$G18),60,60/(($E18-$G18)*Calculator!$E$8))</f>
        <v>13.333333333333334</v>
      </c>
      <c r="Q18" s="12">
        <f>IF(($E18=$H18),60,60/(($E18-$H18)*Calculator!$E$8))</f>
        <v>13.333333333333334</v>
      </c>
      <c r="R18" s="26">
        <f t="shared" si="2"/>
        <v>5.5000000000000009</v>
      </c>
      <c r="S18" s="26">
        <f t="shared" si="3"/>
        <v>25.000000000000004</v>
      </c>
      <c r="T18" s="26">
        <f t="shared" si="4"/>
        <v>25.000000000000004</v>
      </c>
      <c r="U18" s="26">
        <f t="shared" si="5"/>
        <v>3</v>
      </c>
      <c r="V18" s="78">
        <f t="shared" si="6"/>
        <v>0</v>
      </c>
      <c r="W18" s="248">
        <f t="shared" si="7"/>
        <v>0.84615384615384615</v>
      </c>
      <c r="X18" s="249">
        <f t="shared" si="8"/>
        <v>0.96153846153846156</v>
      </c>
      <c r="Y18" s="251">
        <f t="shared" si="9"/>
        <v>0.96153846153846156</v>
      </c>
    </row>
    <row r="19" spans="1:30" ht="20.100000000000001" customHeight="1">
      <c r="A19" s="15" t="s">
        <v>214</v>
      </c>
      <c r="B19" s="257" t="s">
        <v>165</v>
      </c>
      <c r="C19" s="9"/>
      <c r="D19" s="103"/>
      <c r="E19" s="10">
        <v>192</v>
      </c>
      <c r="F19" s="11">
        <v>0</v>
      </c>
      <c r="G19" s="11">
        <v>0</v>
      </c>
      <c r="H19" s="11">
        <v>178</v>
      </c>
      <c r="I19" s="11">
        <f t="shared" si="0"/>
        <v>178</v>
      </c>
      <c r="J19" s="75">
        <f t="shared" si="1"/>
        <v>178</v>
      </c>
      <c r="K19" s="28">
        <f>PRODUCT($E19,Calculator!$E$8)</f>
        <v>864</v>
      </c>
      <c r="L19" s="11">
        <f>PRODUCT($I19,Calculator!$E$8)</f>
        <v>801</v>
      </c>
      <c r="M19" s="75">
        <f>PRODUCT($J19,Calculator!$E$8)</f>
        <v>801</v>
      </c>
      <c r="N19" s="12">
        <f>60/($E19*Calculator!$E$8)</f>
        <v>6.9444444444444448E-2</v>
      </c>
      <c r="O19" s="12">
        <f>IF(($E19=$F19),60,60/(($E19-$F19)*Calculator!$E$8))</f>
        <v>6.9444444444444448E-2</v>
      </c>
      <c r="P19" s="77">
        <f>IF(($E19=$G19),60,60/(($E19-$G19)*Calculator!$E$8))</f>
        <v>6.9444444444444448E-2</v>
      </c>
      <c r="Q19" s="12">
        <f>IF(($E19=$H19),60,60/(($E19-$H19)*Calculator!$E$8))</f>
        <v>0.95238095238095233</v>
      </c>
      <c r="R19" s="26">
        <f t="shared" si="2"/>
        <v>0</v>
      </c>
      <c r="S19" s="26">
        <f t="shared" si="3"/>
        <v>0</v>
      </c>
      <c r="T19" s="26">
        <f t="shared" si="4"/>
        <v>12.714285714285714</v>
      </c>
      <c r="U19" s="26">
        <f t="shared" si="5"/>
        <v>12.714285714285714</v>
      </c>
      <c r="V19" s="78">
        <f t="shared" si="6"/>
        <v>12.714285714285714</v>
      </c>
      <c r="W19" s="248">
        <f t="shared" si="7"/>
        <v>0</v>
      </c>
      <c r="X19" s="249">
        <f t="shared" si="8"/>
        <v>0</v>
      </c>
      <c r="Y19" s="251">
        <f t="shared" si="9"/>
        <v>0.92708333333333337</v>
      </c>
    </row>
    <row r="20" spans="1:30" ht="20.100000000000001" customHeight="1">
      <c r="A20" s="7" t="s">
        <v>177</v>
      </c>
      <c r="B20" s="257" t="s">
        <v>165</v>
      </c>
      <c r="C20" s="9"/>
      <c r="D20" s="9"/>
      <c r="E20" s="10">
        <v>47</v>
      </c>
      <c r="F20" s="11">
        <v>0</v>
      </c>
      <c r="G20" s="11">
        <v>0</v>
      </c>
      <c r="H20" s="13">
        <v>23</v>
      </c>
      <c r="I20" s="11">
        <f t="shared" si="0"/>
        <v>23</v>
      </c>
      <c r="J20" s="75">
        <f t="shared" si="1"/>
        <v>23</v>
      </c>
      <c r="K20" s="28">
        <f>PRODUCT($E20,Calculator!$E$8)</f>
        <v>211.5</v>
      </c>
      <c r="L20" s="13">
        <f>PRODUCT($I20,Calculator!$E$8)</f>
        <v>103.5</v>
      </c>
      <c r="M20" s="75">
        <f>PRODUCT($J20,Calculator!$E$8)</f>
        <v>103.5</v>
      </c>
      <c r="N20" s="12">
        <f>60/($E20*Calculator!$E$8)</f>
        <v>0.28368794326241137</v>
      </c>
      <c r="O20" s="12">
        <f>IF(($E20=$F20),60,60/(($E20-$F20)*Calculator!$E$8))</f>
        <v>0.28368794326241137</v>
      </c>
      <c r="P20" s="77">
        <f>IF(($E20=$G20),60,60/(($E20-$G20)*Calculator!$E$8))</f>
        <v>0.28368794326241137</v>
      </c>
      <c r="Q20" s="12">
        <f>IF(($E20=$H20),60,60/(($E20-$H20)*Calculator!$E$8))</f>
        <v>0.55555555555555558</v>
      </c>
      <c r="R20" s="26">
        <f t="shared" si="2"/>
        <v>0</v>
      </c>
      <c r="S20" s="26">
        <f t="shared" si="3"/>
        <v>0</v>
      </c>
      <c r="T20" s="26">
        <f t="shared" si="4"/>
        <v>0.95833333333333326</v>
      </c>
      <c r="U20" s="26">
        <f t="shared" si="5"/>
        <v>0.95833333333333326</v>
      </c>
      <c r="V20" s="78">
        <f t="shared" si="6"/>
        <v>0.95833333333333326</v>
      </c>
      <c r="W20" s="248">
        <f t="shared" si="7"/>
        <v>0</v>
      </c>
      <c r="X20" s="249">
        <f t="shared" si="8"/>
        <v>0</v>
      </c>
      <c r="Y20" s="251">
        <f t="shared" si="9"/>
        <v>0.48936170212765956</v>
      </c>
    </row>
    <row r="21" spans="1:30" ht="20.100000000000001" customHeight="1">
      <c r="A21" s="15" t="s">
        <v>178</v>
      </c>
      <c r="B21" s="257" t="s">
        <v>165</v>
      </c>
      <c r="C21" s="9"/>
      <c r="D21" s="9"/>
      <c r="E21" s="10">
        <v>27</v>
      </c>
      <c r="F21" s="11">
        <v>0</v>
      </c>
      <c r="G21" s="11">
        <v>0</v>
      </c>
      <c r="H21" s="11">
        <v>16</v>
      </c>
      <c r="I21" s="10">
        <f t="shared" si="0"/>
        <v>16</v>
      </c>
      <c r="J21" s="75">
        <f t="shared" si="1"/>
        <v>16</v>
      </c>
      <c r="K21" s="10">
        <f>PRODUCT($E21,Calculator!$E$8)</f>
        <v>121.5</v>
      </c>
      <c r="L21" s="11">
        <f>PRODUCT($I21,Calculator!$E$8)</f>
        <v>72</v>
      </c>
      <c r="M21" s="75">
        <f>PRODUCT($J21,Calculator!$E$8)</f>
        <v>72</v>
      </c>
      <c r="N21" s="12">
        <f>60/($E21*Calculator!$E$8)</f>
        <v>0.49382716049382713</v>
      </c>
      <c r="O21" s="12">
        <f>IF(($E21=$F21),60,60/(($E21-$F21)*Calculator!$E$8))</f>
        <v>0.49382716049382713</v>
      </c>
      <c r="P21" s="77">
        <f>IF(($E21=$G21),60,60/(($E21-$G21)*Calculator!$E$8))</f>
        <v>0.49382716049382713</v>
      </c>
      <c r="Q21" s="24">
        <f>IF(($E21=$H21),60,60/(($E21-$H21)*Calculator!$E$8))</f>
        <v>1.2121212121212122</v>
      </c>
      <c r="R21" s="26">
        <f t="shared" si="2"/>
        <v>0</v>
      </c>
      <c r="S21" s="26">
        <f t="shared" si="3"/>
        <v>0</v>
      </c>
      <c r="T21" s="26">
        <f t="shared" si="4"/>
        <v>1.4545454545454548</v>
      </c>
      <c r="U21" s="26">
        <f t="shared" si="5"/>
        <v>1.4545454545454548</v>
      </c>
      <c r="V21" s="78">
        <f t="shared" si="6"/>
        <v>1.4545454545454548</v>
      </c>
      <c r="W21" s="248">
        <f t="shared" si="7"/>
        <v>0</v>
      </c>
      <c r="X21" s="249">
        <f t="shared" si="8"/>
        <v>0</v>
      </c>
      <c r="Y21" s="251">
        <f t="shared" si="9"/>
        <v>0.59259259259259256</v>
      </c>
    </row>
    <row r="22" spans="1:30" ht="20.100000000000001" customHeight="1">
      <c r="A22" s="7" t="s">
        <v>179</v>
      </c>
      <c r="B22" s="257" t="s">
        <v>165</v>
      </c>
      <c r="C22" s="9"/>
      <c r="D22" s="9"/>
      <c r="E22" s="10">
        <v>54</v>
      </c>
      <c r="F22" s="11">
        <v>0</v>
      </c>
      <c r="G22" s="11">
        <v>0</v>
      </c>
      <c r="H22" s="13">
        <v>25</v>
      </c>
      <c r="I22" s="11">
        <f t="shared" si="0"/>
        <v>25</v>
      </c>
      <c r="J22" s="75">
        <f t="shared" si="1"/>
        <v>25</v>
      </c>
      <c r="K22" s="28">
        <f>PRODUCT($E22,Calculator!$E$8)</f>
        <v>243</v>
      </c>
      <c r="L22" s="13">
        <f>PRODUCT($I22,Calculator!$E$8)</f>
        <v>112.5</v>
      </c>
      <c r="M22" s="75">
        <f>PRODUCT($J22,Calculator!$E$8)</f>
        <v>112.5</v>
      </c>
      <c r="N22" s="12">
        <f>60/($E22*Calculator!$E$8)</f>
        <v>0.24691358024691357</v>
      </c>
      <c r="O22" s="12">
        <f>IF(($E22=$F22),60,60/(($E22-$F22)*Calculator!$E$8))</f>
        <v>0.24691358024691357</v>
      </c>
      <c r="P22" s="77">
        <f>IF(($E22=$G22),60,60/(($E22-$G22)*Calculator!$E$8))</f>
        <v>0.24691358024691357</v>
      </c>
      <c r="Q22" s="12">
        <f>IF(($E22=$H22),60,60/(($E22-$H22)*Calculator!$E$8))</f>
        <v>0.45977011494252873</v>
      </c>
      <c r="R22" s="26">
        <f t="shared" si="2"/>
        <v>0</v>
      </c>
      <c r="S22" s="26">
        <f t="shared" si="3"/>
        <v>0</v>
      </c>
      <c r="T22" s="26">
        <f t="shared" si="4"/>
        <v>0.86206896551724144</v>
      </c>
      <c r="U22" s="26">
        <f t="shared" si="5"/>
        <v>0.86206896551724144</v>
      </c>
      <c r="V22" s="78">
        <f t="shared" si="6"/>
        <v>0.86206896551724144</v>
      </c>
      <c r="W22" s="248">
        <f t="shared" si="7"/>
        <v>0</v>
      </c>
      <c r="X22" s="249">
        <f t="shared" si="8"/>
        <v>0</v>
      </c>
      <c r="Y22" s="251">
        <f t="shared" si="9"/>
        <v>0.46296296296296297</v>
      </c>
    </row>
    <row r="23" spans="1:30" s="23" customFormat="1" ht="20.100000000000001" customHeight="1">
      <c r="A23" s="15" t="s">
        <v>180</v>
      </c>
      <c r="B23" s="257" t="s">
        <v>165</v>
      </c>
      <c r="C23" s="9"/>
      <c r="D23" s="9"/>
      <c r="E23" s="10">
        <v>36</v>
      </c>
      <c r="F23" s="11">
        <v>0</v>
      </c>
      <c r="G23" s="11">
        <v>0</v>
      </c>
      <c r="H23" s="11">
        <v>21</v>
      </c>
      <c r="I23" s="11">
        <f t="shared" si="0"/>
        <v>21</v>
      </c>
      <c r="J23" s="75">
        <f t="shared" si="1"/>
        <v>21</v>
      </c>
      <c r="K23" s="28">
        <f>PRODUCT($E23,Calculator!$E$8)</f>
        <v>162</v>
      </c>
      <c r="L23" s="11">
        <f>PRODUCT($I23,Calculator!$E$8)</f>
        <v>94.5</v>
      </c>
      <c r="M23" s="75">
        <f>PRODUCT($J23,Calculator!$E$8)</f>
        <v>94.5</v>
      </c>
      <c r="N23" s="12">
        <f>60/($E23*Calculator!$E$8)</f>
        <v>0.37037037037037035</v>
      </c>
      <c r="O23" s="12">
        <f>IF(($E23=$F23),60,60/(($E23-$F23)*Calculator!$E$8))</f>
        <v>0.37037037037037035</v>
      </c>
      <c r="P23" s="77">
        <f>IF(($E23=$G23),60,60/(($E23-$G23)*Calculator!$E$8))</f>
        <v>0.37037037037037035</v>
      </c>
      <c r="Q23" s="12">
        <f>IF(($E23=$H23),60,60/(($E23-$H23)*Calculator!$E$8))</f>
        <v>0.88888888888888884</v>
      </c>
      <c r="R23" s="26">
        <f t="shared" si="2"/>
        <v>0</v>
      </c>
      <c r="S23" s="26">
        <f t="shared" si="3"/>
        <v>0</v>
      </c>
      <c r="T23" s="26">
        <f t="shared" si="4"/>
        <v>1.4</v>
      </c>
      <c r="U23" s="26">
        <f t="shared" si="5"/>
        <v>1.4</v>
      </c>
      <c r="V23" s="78">
        <f t="shared" si="6"/>
        <v>1.4</v>
      </c>
      <c r="W23" s="248">
        <f t="shared" si="7"/>
        <v>0</v>
      </c>
      <c r="X23" s="249">
        <f t="shared" si="8"/>
        <v>0</v>
      </c>
      <c r="Y23" s="251">
        <f t="shared" si="9"/>
        <v>0.58333333333333337</v>
      </c>
    </row>
    <row r="24" spans="1:30" ht="20.100000000000001" customHeight="1">
      <c r="A24" s="283" t="s">
        <v>181</v>
      </c>
      <c r="B24" s="257" t="s">
        <v>165</v>
      </c>
      <c r="C24" s="9"/>
      <c r="D24" s="103"/>
      <c r="E24" s="10">
        <v>79</v>
      </c>
      <c r="F24" s="11">
        <v>0</v>
      </c>
      <c r="G24" s="11">
        <v>0</v>
      </c>
      <c r="H24" s="11">
        <v>71</v>
      </c>
      <c r="I24" s="11">
        <f t="shared" si="0"/>
        <v>71</v>
      </c>
      <c r="J24" s="75">
        <f t="shared" si="1"/>
        <v>71</v>
      </c>
      <c r="K24" s="28">
        <f>PRODUCT($E24,Calculator!$E$8)</f>
        <v>355.5</v>
      </c>
      <c r="L24" s="11">
        <f>PRODUCT($I24,Calculator!$E$8)</f>
        <v>319.5</v>
      </c>
      <c r="M24" s="75">
        <f>PRODUCT($J24,Calculator!$E$8)</f>
        <v>319.5</v>
      </c>
      <c r="N24" s="12">
        <f>60/($E24*Calculator!$E$8)</f>
        <v>0.16877637130801687</v>
      </c>
      <c r="O24" s="12">
        <f>IF(($E24=$F24),60,60/(($E24-$F24)*Calculator!$E$8))</f>
        <v>0.16877637130801687</v>
      </c>
      <c r="P24" s="77">
        <f>IF(($E24=$G24),60,60/(($E24-$G24)*Calculator!$E$8))</f>
        <v>0.16877637130801687</v>
      </c>
      <c r="Q24" s="12">
        <f>IF(($E24=$H24),60,60/(($E24-$H24)*Calculator!$E$8))</f>
        <v>1.6666666666666667</v>
      </c>
      <c r="R24" s="26">
        <f t="shared" si="2"/>
        <v>0</v>
      </c>
      <c r="S24" s="26">
        <f t="shared" si="3"/>
        <v>0</v>
      </c>
      <c r="T24" s="26">
        <f t="shared" si="4"/>
        <v>8.8750000000000018</v>
      </c>
      <c r="U24" s="26">
        <f t="shared" si="5"/>
        <v>8.8750000000000018</v>
      </c>
      <c r="V24" s="78">
        <f t="shared" si="6"/>
        <v>8.8750000000000018</v>
      </c>
      <c r="W24" s="248">
        <f t="shared" si="7"/>
        <v>0</v>
      </c>
      <c r="X24" s="249">
        <f t="shared" si="8"/>
        <v>0</v>
      </c>
      <c r="Y24" s="251">
        <f t="shared" si="9"/>
        <v>0.89873417721518989</v>
      </c>
    </row>
    <row r="25" spans="1:30" ht="20.100000000000001" customHeight="1">
      <c r="A25" s="15" t="s">
        <v>182</v>
      </c>
      <c r="B25" s="257" t="s">
        <v>166</v>
      </c>
      <c r="C25" s="9"/>
      <c r="D25" s="103"/>
      <c r="E25" s="10">
        <v>23</v>
      </c>
      <c r="F25" s="11">
        <v>0</v>
      </c>
      <c r="G25" s="11">
        <v>0</v>
      </c>
      <c r="H25" s="11">
        <v>15</v>
      </c>
      <c r="I25" s="11">
        <f t="shared" si="0"/>
        <v>15</v>
      </c>
      <c r="J25" s="75">
        <f t="shared" si="1"/>
        <v>15</v>
      </c>
      <c r="K25" s="28">
        <f>PRODUCT($E25,Calculator!$E$8)</f>
        <v>103.5</v>
      </c>
      <c r="L25" s="11">
        <f>PRODUCT($I25,Calculator!$E$8)</f>
        <v>67.5</v>
      </c>
      <c r="M25" s="75">
        <f>PRODUCT($J25,Calculator!$E$8)</f>
        <v>67.5</v>
      </c>
      <c r="N25" s="12">
        <f>60/($E25*Calculator!$E$8)</f>
        <v>0.57971014492753625</v>
      </c>
      <c r="O25" s="12">
        <f>IF(($E25=$F25),60,60/(($E25-$F25)*Calculator!$E$8))</f>
        <v>0.57971014492753625</v>
      </c>
      <c r="P25" s="77">
        <f>IF(($E25=$G25),60,60/(($E25-$G25)*Calculator!$E$8))</f>
        <v>0.57971014492753625</v>
      </c>
      <c r="Q25" s="12">
        <f>IF(($E25=$H25),60,60/(($E25-$H25)*Calculator!$E$8))</f>
        <v>1.6666666666666667</v>
      </c>
      <c r="R25" s="26">
        <f t="shared" si="2"/>
        <v>0</v>
      </c>
      <c r="S25" s="26">
        <f t="shared" si="3"/>
        <v>0</v>
      </c>
      <c r="T25" s="26">
        <f t="shared" si="4"/>
        <v>1.8749999999999998</v>
      </c>
      <c r="U25" s="26">
        <f t="shared" si="5"/>
        <v>1.8749999999999998</v>
      </c>
      <c r="V25" s="78">
        <f t="shared" si="6"/>
        <v>1.8749999999999998</v>
      </c>
      <c r="W25" s="248">
        <f t="shared" si="7"/>
        <v>0</v>
      </c>
      <c r="X25" s="249">
        <f t="shared" si="8"/>
        <v>0</v>
      </c>
      <c r="Y25" s="251">
        <f t="shared" si="9"/>
        <v>0.65217391304347827</v>
      </c>
    </row>
    <row r="26" spans="1:30" ht="20.100000000000001" customHeight="1">
      <c r="A26" s="7" t="s">
        <v>183</v>
      </c>
      <c r="B26" s="257" t="s">
        <v>167</v>
      </c>
      <c r="C26" s="9"/>
      <c r="D26" s="9" t="s">
        <v>11</v>
      </c>
      <c r="E26" s="10">
        <v>229</v>
      </c>
      <c r="F26" s="11">
        <v>0</v>
      </c>
      <c r="G26" s="11">
        <v>109</v>
      </c>
      <c r="H26" s="13">
        <v>216</v>
      </c>
      <c r="I26" s="10">
        <f t="shared" si="0"/>
        <v>216</v>
      </c>
      <c r="J26" s="75">
        <f t="shared" si="1"/>
        <v>107</v>
      </c>
      <c r="K26" s="10">
        <f>PRODUCT($E26,Calculator!$E$8)</f>
        <v>1030.5</v>
      </c>
      <c r="L26" s="13">
        <f>PRODUCT($I26,Calculator!$E$8)</f>
        <v>972</v>
      </c>
      <c r="M26" s="75">
        <f>PRODUCT($J26,Calculator!$E$8)</f>
        <v>481.5</v>
      </c>
      <c r="N26" s="14">
        <f>60/($E26*Calculator!$E$8)</f>
        <v>5.8224163027656477E-2</v>
      </c>
      <c r="O26" s="14">
        <f>IF(($E26=$F26),60,60/(($E26-$F26)*Calculator!$E$8))</f>
        <v>5.8224163027656477E-2</v>
      </c>
      <c r="P26" s="77">
        <f>IF(($E26=$G26),60,60/(($E26-$G26)*Calculator!$E$8))</f>
        <v>0.1111111111111111</v>
      </c>
      <c r="Q26" s="14">
        <f>IF(($E26=$H26),60,60/(($E26-$H26)*Calculator!$E$8))</f>
        <v>1.0256410256410255</v>
      </c>
      <c r="R26" s="27">
        <f t="shared" si="2"/>
        <v>0</v>
      </c>
      <c r="S26" s="26">
        <f t="shared" si="3"/>
        <v>0.90833333333333321</v>
      </c>
      <c r="T26" s="26">
        <f t="shared" si="4"/>
        <v>16.615384615384613</v>
      </c>
      <c r="U26" s="27">
        <f t="shared" si="5"/>
        <v>16.615384615384613</v>
      </c>
      <c r="V26" s="78">
        <f t="shared" si="6"/>
        <v>8.2307692307692299</v>
      </c>
      <c r="W26" s="248">
        <f t="shared" si="7"/>
        <v>0</v>
      </c>
      <c r="X26" s="249">
        <f t="shared" si="8"/>
        <v>0.4759825327510917</v>
      </c>
      <c r="Y26" s="251">
        <f t="shared" si="9"/>
        <v>0.94323144104803491</v>
      </c>
      <c r="AD26" s="2"/>
    </row>
    <row r="27" spans="1:30" s="6" customFormat="1" ht="20.100000000000001" customHeight="1">
      <c r="A27" s="7" t="s">
        <v>184</v>
      </c>
      <c r="B27" s="257" t="s">
        <v>166</v>
      </c>
      <c r="C27" s="9" t="s">
        <v>11</v>
      </c>
      <c r="D27" s="9" t="s">
        <v>11</v>
      </c>
      <c r="E27" s="10">
        <v>176</v>
      </c>
      <c r="F27" s="11">
        <v>11</v>
      </c>
      <c r="G27" s="11">
        <v>137</v>
      </c>
      <c r="H27" s="13">
        <v>158</v>
      </c>
      <c r="I27" s="10">
        <f t="shared" si="0"/>
        <v>147</v>
      </c>
      <c r="J27" s="75">
        <f t="shared" si="1"/>
        <v>21</v>
      </c>
      <c r="K27" s="10">
        <f>PRODUCT($E27,Calculator!$E$8)</f>
        <v>792</v>
      </c>
      <c r="L27" s="13">
        <f>PRODUCT($I27,Calculator!$E$8)</f>
        <v>661.5</v>
      </c>
      <c r="M27" s="75">
        <f>PRODUCT($J27,Calculator!$E$8)</f>
        <v>94.5</v>
      </c>
      <c r="N27" s="14">
        <f>60/($E27*Calculator!$E$8)</f>
        <v>7.575757575757576E-2</v>
      </c>
      <c r="O27" s="14">
        <f>IF(($E27=$F27),60,60/(($E27-$F27)*Calculator!$E$8))</f>
        <v>8.0808080808080815E-2</v>
      </c>
      <c r="P27" s="77">
        <f>IF(($E27=$G27),60,60/(($E27-$G27)*Calculator!$E$8))</f>
        <v>0.34188034188034189</v>
      </c>
      <c r="Q27" s="14">
        <f>IF(($E27=$H27),60,60/(($E27-$H27)*Calculator!$E$8))</f>
        <v>0.7407407407407407</v>
      </c>
      <c r="R27" s="27">
        <f t="shared" si="2"/>
        <v>6.6666666666666721E-2</v>
      </c>
      <c r="S27" s="26">
        <f t="shared" si="3"/>
        <v>3.5128205128205128</v>
      </c>
      <c r="T27" s="26">
        <f t="shared" si="4"/>
        <v>8.7777777777777768</v>
      </c>
      <c r="U27" s="27">
        <f t="shared" si="5"/>
        <v>8.1666666666666661</v>
      </c>
      <c r="V27" s="78">
        <f t="shared" si="6"/>
        <v>1.1666666666666665</v>
      </c>
      <c r="W27" s="248">
        <f t="shared" si="7"/>
        <v>6.25E-2</v>
      </c>
      <c r="X27" s="249">
        <f t="shared" si="8"/>
        <v>0.77840909090909094</v>
      </c>
      <c r="Y27" s="251">
        <f t="shared" si="9"/>
        <v>0.89772727272727271</v>
      </c>
    </row>
    <row r="28" spans="1:30" s="6" customFormat="1" ht="20.100000000000001" customHeight="1">
      <c r="A28" s="7" t="s">
        <v>185</v>
      </c>
      <c r="B28" s="257" t="s">
        <v>166</v>
      </c>
      <c r="C28" s="9" t="s">
        <v>11</v>
      </c>
      <c r="D28" s="9" t="s">
        <v>11</v>
      </c>
      <c r="E28" s="10">
        <v>172</v>
      </c>
      <c r="F28" s="11">
        <v>109</v>
      </c>
      <c r="G28" s="11">
        <v>123</v>
      </c>
      <c r="H28" s="13">
        <v>159</v>
      </c>
      <c r="I28" s="11">
        <f t="shared" si="0"/>
        <v>50</v>
      </c>
      <c r="J28" s="75">
        <f t="shared" si="1"/>
        <v>36</v>
      </c>
      <c r="K28" s="28">
        <f>PRODUCT($E28,Calculator!$E$8)</f>
        <v>774</v>
      </c>
      <c r="L28" s="13">
        <f>PRODUCT($I28,Calculator!$E$8)</f>
        <v>225</v>
      </c>
      <c r="M28" s="75">
        <f>PRODUCT($J28,Calculator!$E$8)</f>
        <v>162</v>
      </c>
      <c r="N28" s="12">
        <f>60/($E28*Calculator!$E$8)</f>
        <v>7.7519379844961239E-2</v>
      </c>
      <c r="O28" s="12">
        <f>IF(($E28=$F28),60,60/(($E28-$F28)*Calculator!$E$8))</f>
        <v>0.21164021164021163</v>
      </c>
      <c r="P28" s="77">
        <f>IF(($E28=$G28),60,60/(($E28-$G28)*Calculator!$E$8))</f>
        <v>0.27210884353741499</v>
      </c>
      <c r="Q28" s="12">
        <f>IF(($E28=$H28),60,60/(($E28-$H28)*Calculator!$E$8))</f>
        <v>1.0256410256410255</v>
      </c>
      <c r="R28" s="26">
        <f t="shared" si="2"/>
        <v>1.73015873015873</v>
      </c>
      <c r="S28" s="26">
        <f t="shared" si="3"/>
        <v>2.5102040816326534</v>
      </c>
      <c r="T28" s="26">
        <f t="shared" si="4"/>
        <v>12.23076923076923</v>
      </c>
      <c r="U28" s="26">
        <f t="shared" si="5"/>
        <v>3.8461538461538458</v>
      </c>
      <c r="V28" s="78">
        <f t="shared" si="6"/>
        <v>2.7692307692307683</v>
      </c>
      <c r="W28" s="248">
        <f t="shared" si="7"/>
        <v>0.63372093023255816</v>
      </c>
      <c r="X28" s="249">
        <f t="shared" si="8"/>
        <v>0.71511627906976749</v>
      </c>
      <c r="Y28" s="251">
        <f t="shared" si="9"/>
        <v>0.92441860465116277</v>
      </c>
    </row>
    <row r="29" spans="1:30" s="6" customFormat="1" ht="20.100000000000001" customHeight="1">
      <c r="A29" s="7" t="s">
        <v>186</v>
      </c>
      <c r="B29" s="73" t="s">
        <v>165</v>
      </c>
      <c r="C29" s="9" t="s">
        <v>11</v>
      </c>
      <c r="D29" s="9" t="s">
        <v>11</v>
      </c>
      <c r="E29" s="10">
        <v>188</v>
      </c>
      <c r="F29" s="11">
        <v>156</v>
      </c>
      <c r="G29" s="11">
        <v>174</v>
      </c>
      <c r="H29" s="13">
        <v>174</v>
      </c>
      <c r="I29" s="11">
        <f t="shared" si="0"/>
        <v>18</v>
      </c>
      <c r="J29" s="75">
        <f t="shared" si="1"/>
        <v>0</v>
      </c>
      <c r="K29" s="28">
        <f>PRODUCT($E29,Calculator!$E$8)</f>
        <v>846</v>
      </c>
      <c r="L29" s="13">
        <f>PRODUCT($I29,Calculator!$E$8)</f>
        <v>81</v>
      </c>
      <c r="M29" s="75">
        <f>PRODUCT($J29,Calculator!$E$8)</f>
        <v>0</v>
      </c>
      <c r="N29" s="12">
        <f>60/($E29*Calculator!$E$8)</f>
        <v>7.0921985815602842E-2</v>
      </c>
      <c r="O29" s="12">
        <f>IF(($E29=$F29),60,60/(($E29-$F29)*Calculator!$E$8))</f>
        <v>0.41666666666666669</v>
      </c>
      <c r="P29" s="77">
        <f>IF(($E29=$G29),60,60/(($E29-$G29)*Calculator!$E$8))</f>
        <v>0.95238095238095233</v>
      </c>
      <c r="Q29" s="12">
        <f>IF(($E29=$H29),60,60/(($E29-$H29)*Calculator!$E$8))</f>
        <v>0.95238095238095233</v>
      </c>
      <c r="R29" s="26">
        <f t="shared" si="2"/>
        <v>4.875</v>
      </c>
      <c r="S29" s="26">
        <f t="shared" si="3"/>
        <v>12.428571428571427</v>
      </c>
      <c r="T29" s="26">
        <f t="shared" si="4"/>
        <v>12.428571428571427</v>
      </c>
      <c r="U29" s="26">
        <f t="shared" si="5"/>
        <v>1.2857142857142854</v>
      </c>
      <c r="V29" s="78">
        <f t="shared" si="6"/>
        <v>0</v>
      </c>
      <c r="W29" s="248">
        <f t="shared" si="7"/>
        <v>0.82978723404255317</v>
      </c>
      <c r="X29" s="249">
        <f t="shared" si="8"/>
        <v>0.92553191489361697</v>
      </c>
      <c r="Y29" s="251">
        <f t="shared" si="9"/>
        <v>0.92553191489361697</v>
      </c>
    </row>
    <row r="30" spans="1:30" s="6" customFormat="1" ht="20.100000000000001" customHeight="1">
      <c r="A30" s="7" t="s">
        <v>187</v>
      </c>
      <c r="B30" s="257" t="s">
        <v>165</v>
      </c>
      <c r="C30" s="9" t="s">
        <v>11</v>
      </c>
      <c r="D30" s="9" t="s">
        <v>11</v>
      </c>
      <c r="E30" s="10">
        <v>194</v>
      </c>
      <c r="F30" s="11">
        <v>166</v>
      </c>
      <c r="G30" s="11">
        <v>177</v>
      </c>
      <c r="H30" s="13">
        <v>178</v>
      </c>
      <c r="I30" s="11">
        <f t="shared" si="0"/>
        <v>12</v>
      </c>
      <c r="J30" s="75">
        <f t="shared" si="1"/>
        <v>1</v>
      </c>
      <c r="K30" s="28">
        <f>PRODUCT($E30,Calculator!$E$8)</f>
        <v>873</v>
      </c>
      <c r="L30" s="13">
        <f>PRODUCT($I30,Calculator!$E$8)</f>
        <v>54</v>
      </c>
      <c r="M30" s="75">
        <f>PRODUCT($J30,Calculator!$E$8)</f>
        <v>4.5</v>
      </c>
      <c r="N30" s="12">
        <f>60/($E30*Calculator!$E$8)</f>
        <v>6.8728522336769765E-2</v>
      </c>
      <c r="O30" s="12">
        <f>IF(($E30=$F30),60,60/(($E30-$F30)*Calculator!$E$8))</f>
        <v>0.47619047619047616</v>
      </c>
      <c r="P30" s="77">
        <f>IF(($E30=$G30),60,60/(($E30-$G30)*Calculator!$E$8))</f>
        <v>0.78431372549019607</v>
      </c>
      <c r="Q30" s="24">
        <f>IF(($E30=$H30),60,60/(($E30-$H30)*Calculator!$E$8))</f>
        <v>0.83333333333333337</v>
      </c>
      <c r="R30" s="26">
        <f t="shared" si="2"/>
        <v>5.9285714285714279</v>
      </c>
      <c r="S30" s="26">
        <f t="shared" si="3"/>
        <v>10.411764705882351</v>
      </c>
      <c r="T30" s="26">
        <f t="shared" si="4"/>
        <v>11.125</v>
      </c>
      <c r="U30" s="26">
        <f t="shared" si="5"/>
        <v>0.75000000000000022</v>
      </c>
      <c r="V30" s="78">
        <f t="shared" si="6"/>
        <v>6.2500000000000056E-2</v>
      </c>
      <c r="W30" s="248">
        <f t="shared" si="7"/>
        <v>0.85567010309278346</v>
      </c>
      <c r="X30" s="249">
        <f t="shared" si="8"/>
        <v>0.91237113402061853</v>
      </c>
      <c r="Y30" s="251">
        <f t="shared" si="9"/>
        <v>0.91752577319587625</v>
      </c>
    </row>
    <row r="31" spans="1:30" s="6" customFormat="1" ht="20.100000000000001" customHeight="1">
      <c r="A31" s="264" t="s">
        <v>215</v>
      </c>
      <c r="B31" s="257" t="s">
        <v>165</v>
      </c>
      <c r="C31" s="9"/>
      <c r="D31" s="9" t="s">
        <v>11</v>
      </c>
      <c r="E31" s="10">
        <v>43</v>
      </c>
      <c r="F31" s="11">
        <v>0</v>
      </c>
      <c r="G31" s="11">
        <v>37</v>
      </c>
      <c r="H31" s="13">
        <v>42</v>
      </c>
      <c r="I31" s="11">
        <f>H31-F31</f>
        <v>42</v>
      </c>
      <c r="J31" s="75">
        <f t="shared" si="1"/>
        <v>5</v>
      </c>
      <c r="K31" s="28">
        <f>PRODUCT($E31,Calculator!$E$8)</f>
        <v>193.5</v>
      </c>
      <c r="L31" s="13">
        <f>PRODUCT($I31,Calculator!$E$8)</f>
        <v>189</v>
      </c>
      <c r="M31" s="75">
        <f>PRODUCT($J31,Calculator!$E$8)</f>
        <v>22.5</v>
      </c>
      <c r="N31" s="12">
        <f>60/($E31*Calculator!$E$8)</f>
        <v>0.31007751937984496</v>
      </c>
      <c r="O31" s="12">
        <f>IF(($E31=$F31),60,60/(($E31-$F31)*Calculator!$E$8))</f>
        <v>0.31007751937984496</v>
      </c>
      <c r="P31" s="77">
        <f>IF(($E31=$G31),60,60/(($E31-$G31)*Calculator!$E$8))</f>
        <v>2.2222222222222223</v>
      </c>
      <c r="Q31" s="12">
        <f>IF(($E31=$H31),60,60/(($E31-$H31)*Calculator!$E$8))</f>
        <v>13.333333333333334</v>
      </c>
      <c r="R31" s="26">
        <f>(O31-N31)/N31</f>
        <v>0</v>
      </c>
      <c r="S31" s="26">
        <f t="shared" si="3"/>
        <v>6.166666666666667</v>
      </c>
      <c r="T31" s="26">
        <f>(Q31-N31)/N31</f>
        <v>42</v>
      </c>
      <c r="U31" s="26">
        <f>(Q31-O31)/O31</f>
        <v>42</v>
      </c>
      <c r="V31" s="78">
        <f>(Q31-P31)/P31</f>
        <v>5</v>
      </c>
      <c r="W31" s="248">
        <f xml:space="preserve"> F31/E31</f>
        <v>0</v>
      </c>
      <c r="X31" s="249">
        <f t="shared" si="8"/>
        <v>0.86046511627906974</v>
      </c>
      <c r="Y31" s="251">
        <f>H31/E31</f>
        <v>0.97674418604651159</v>
      </c>
    </row>
    <row r="32" spans="1:30" s="6" customFormat="1" ht="20.100000000000001" customHeight="1">
      <c r="A32" s="264" t="s">
        <v>216</v>
      </c>
      <c r="B32" s="257" t="s">
        <v>165</v>
      </c>
      <c r="C32" s="9"/>
      <c r="D32" s="103"/>
      <c r="E32" s="10">
        <v>92</v>
      </c>
      <c r="F32" s="11">
        <v>0</v>
      </c>
      <c r="G32" s="11">
        <v>0</v>
      </c>
      <c r="H32" s="13">
        <v>73</v>
      </c>
      <c r="I32" s="11">
        <f>H32-F32</f>
        <v>73</v>
      </c>
      <c r="J32" s="75">
        <f t="shared" si="1"/>
        <v>73</v>
      </c>
      <c r="K32" s="28">
        <f>PRODUCT($E32,Calculator!$E$8)</f>
        <v>414</v>
      </c>
      <c r="L32" s="13">
        <f>PRODUCT($I32,Calculator!$E$8)</f>
        <v>328.5</v>
      </c>
      <c r="M32" s="75">
        <f>PRODUCT($J32,Calculator!$E$8)</f>
        <v>328.5</v>
      </c>
      <c r="N32" s="12">
        <f>60/($E32*Calculator!$E$8)</f>
        <v>0.14492753623188406</v>
      </c>
      <c r="O32" s="12">
        <f>IF(($E32=$F32),60,60/(($E32-$F32)*Calculator!$E$8))</f>
        <v>0.14492753623188406</v>
      </c>
      <c r="P32" s="77">
        <f>IF(($E32=$G32),60,60/(($E32-$G32)*Calculator!$E$8))</f>
        <v>0.14492753623188406</v>
      </c>
      <c r="Q32" s="12">
        <f>IF(($E32=$H32),60,60/(($E32-$H32)*Calculator!$E$8))</f>
        <v>0.70175438596491224</v>
      </c>
      <c r="R32" s="26">
        <f>(O32-N32)/N32</f>
        <v>0</v>
      </c>
      <c r="S32" s="26">
        <f t="shared" si="3"/>
        <v>0</v>
      </c>
      <c r="T32" s="26">
        <f>(Q32-N32)/N32</f>
        <v>3.8421052631578947</v>
      </c>
      <c r="U32" s="26">
        <f>(Q32-O32)/O32</f>
        <v>3.8421052631578947</v>
      </c>
      <c r="V32" s="78">
        <f>(Q32-P32)/P32</f>
        <v>3.8421052631578947</v>
      </c>
      <c r="W32" s="248">
        <f xml:space="preserve"> F32/E32</f>
        <v>0</v>
      </c>
      <c r="X32" s="249">
        <f t="shared" si="8"/>
        <v>0</v>
      </c>
      <c r="Y32" s="251">
        <f>H32/E32</f>
        <v>0.79347826086956519</v>
      </c>
    </row>
    <row r="33" spans="1:25" s="6" customFormat="1" ht="20.100000000000001" customHeight="1">
      <c r="A33" s="264" t="s">
        <v>217</v>
      </c>
      <c r="B33" s="257" t="s">
        <v>165</v>
      </c>
      <c r="C33" s="9"/>
      <c r="D33" s="103"/>
      <c r="E33" s="10">
        <v>22</v>
      </c>
      <c r="F33" s="11">
        <v>0</v>
      </c>
      <c r="G33" s="11">
        <v>0</v>
      </c>
      <c r="H33" s="13">
        <v>12</v>
      </c>
      <c r="I33" s="11">
        <f>H33-F33</f>
        <v>12</v>
      </c>
      <c r="J33" s="75">
        <f t="shared" si="1"/>
        <v>12</v>
      </c>
      <c r="K33" s="28">
        <f>PRODUCT($E33,Calculator!$E$8)</f>
        <v>99</v>
      </c>
      <c r="L33" s="13">
        <f>PRODUCT($I33,Calculator!$E$8)</f>
        <v>54</v>
      </c>
      <c r="M33" s="75">
        <f>PRODUCT($J33,Calculator!$E$8)</f>
        <v>54</v>
      </c>
      <c r="N33" s="12">
        <f>60/($E33*Calculator!$E$8)</f>
        <v>0.60606060606060608</v>
      </c>
      <c r="O33" s="12">
        <f>IF(($E33=$F33),60,60/(($E33-$F33)*Calculator!$E$8))</f>
        <v>0.60606060606060608</v>
      </c>
      <c r="P33" s="77">
        <f>IF(($E33=$G33),60,60/(($E33-$G33)*Calculator!$E$8))</f>
        <v>0.60606060606060608</v>
      </c>
      <c r="Q33" s="12">
        <f>IF(($E33=$H33),60,60/(($E33-$H33)*Calculator!$E$8))</f>
        <v>1.3333333333333333</v>
      </c>
      <c r="R33" s="26">
        <f>(O33-N33)/N33</f>
        <v>0</v>
      </c>
      <c r="S33" s="26">
        <f t="shared" si="3"/>
        <v>0</v>
      </c>
      <c r="T33" s="26">
        <f>(Q33-N33)/N33</f>
        <v>1.1999999999999997</v>
      </c>
      <c r="U33" s="26">
        <f>(Q33-O33)/O33</f>
        <v>1.1999999999999997</v>
      </c>
      <c r="V33" s="78">
        <f>(Q33-P33)/P33</f>
        <v>1.1999999999999997</v>
      </c>
      <c r="W33" s="248">
        <f xml:space="preserve"> F33/E33</f>
        <v>0</v>
      </c>
      <c r="X33" s="249">
        <f t="shared" si="8"/>
        <v>0</v>
      </c>
      <c r="Y33" s="251">
        <f>H33/E33</f>
        <v>0.54545454545454541</v>
      </c>
    </row>
    <row r="34" spans="1:25" s="6" customFormat="1" ht="20.100000000000001" customHeight="1">
      <c r="A34" s="264" t="s">
        <v>218</v>
      </c>
      <c r="B34" s="257" t="s">
        <v>165</v>
      </c>
      <c r="C34" s="9"/>
      <c r="D34" s="9" t="s">
        <v>11</v>
      </c>
      <c r="E34" s="10">
        <v>43</v>
      </c>
      <c r="F34" s="11">
        <v>0</v>
      </c>
      <c r="G34" s="11">
        <v>36</v>
      </c>
      <c r="H34" s="13">
        <v>42</v>
      </c>
      <c r="I34" s="11">
        <f>H34-F34</f>
        <v>42</v>
      </c>
      <c r="J34" s="75">
        <f t="shared" si="1"/>
        <v>6</v>
      </c>
      <c r="K34" s="28">
        <f>PRODUCT($E34,Calculator!$E$8)</f>
        <v>193.5</v>
      </c>
      <c r="L34" s="13">
        <f>PRODUCT($I34,Calculator!$E$8)</f>
        <v>189</v>
      </c>
      <c r="M34" s="75">
        <f>PRODUCT($J34,Calculator!$E$8)</f>
        <v>27</v>
      </c>
      <c r="N34" s="12">
        <f>60/($E34*Calculator!$E$8)</f>
        <v>0.31007751937984496</v>
      </c>
      <c r="O34" s="12">
        <f>IF(($E34=$F34),60,60/(($E34-$F34)*Calculator!$E$8))</f>
        <v>0.31007751937984496</v>
      </c>
      <c r="P34" s="77">
        <f>IF(($E34=$G34),60,60/(($E34-$G34)*Calculator!$E$8))</f>
        <v>1.9047619047619047</v>
      </c>
      <c r="Q34" s="12">
        <f>IF(($E34=$H34),60,60/(($E34-$H34)*Calculator!$E$8))</f>
        <v>13.333333333333334</v>
      </c>
      <c r="R34" s="26">
        <f>(O34-N34)/N34</f>
        <v>0</v>
      </c>
      <c r="S34" s="26">
        <f t="shared" si="3"/>
        <v>5.1428571428571423</v>
      </c>
      <c r="T34" s="26">
        <f>(Q34-N34)/N34</f>
        <v>42</v>
      </c>
      <c r="U34" s="26">
        <f>(Q34-O34)/O34</f>
        <v>42</v>
      </c>
      <c r="V34" s="78">
        <f>(Q34-P34)/P34</f>
        <v>6.0000000000000009</v>
      </c>
      <c r="W34" s="248">
        <f xml:space="preserve"> F34/E34</f>
        <v>0</v>
      </c>
      <c r="X34" s="249">
        <f t="shared" si="8"/>
        <v>0.83720930232558144</v>
      </c>
      <c r="Y34" s="251">
        <f>H34/E34</f>
        <v>0.97674418604651159</v>
      </c>
    </row>
    <row r="35" spans="1:25" ht="20.100000000000001" customHeight="1">
      <c r="A35" s="264" t="s">
        <v>219</v>
      </c>
      <c r="B35" s="257" t="s">
        <v>165</v>
      </c>
      <c r="C35" s="9"/>
      <c r="D35" s="103"/>
      <c r="E35" s="10">
        <v>53</v>
      </c>
      <c r="F35" s="11">
        <v>0</v>
      </c>
      <c r="G35" s="11">
        <v>0</v>
      </c>
      <c r="H35" s="13">
        <v>39</v>
      </c>
      <c r="I35" s="11">
        <f>H35-F35</f>
        <v>39</v>
      </c>
      <c r="J35" s="75">
        <f t="shared" si="1"/>
        <v>39</v>
      </c>
      <c r="K35" s="28">
        <f>PRODUCT($E35,Calculator!$E$8)</f>
        <v>238.5</v>
      </c>
      <c r="L35" s="13">
        <f>PRODUCT($I35,Calculator!$E$8)</f>
        <v>175.5</v>
      </c>
      <c r="M35" s="75">
        <f>PRODUCT($J35,Calculator!$E$8)</f>
        <v>175.5</v>
      </c>
      <c r="N35" s="12">
        <f>60/($E35*Calculator!$E$8)</f>
        <v>0.25157232704402516</v>
      </c>
      <c r="O35" s="12">
        <f>IF(($E35=$F35),60,60/(($E35-$F35)*Calculator!$E$8))</f>
        <v>0.25157232704402516</v>
      </c>
      <c r="P35" s="77">
        <f>IF(($E35=$G35),60,60/(($E35-$G35)*Calculator!$E$8))</f>
        <v>0.25157232704402516</v>
      </c>
      <c r="Q35" s="12">
        <f>IF(($E35=$H35),60,60/(($E35-$H35)*Calculator!$E$8))</f>
        <v>0.95238095238095233</v>
      </c>
      <c r="R35" s="26">
        <f>(O35-N35)/N35</f>
        <v>0</v>
      </c>
      <c r="S35" s="26">
        <f t="shared" si="3"/>
        <v>0</v>
      </c>
      <c r="T35" s="26">
        <f>(Q35-N35)/N35</f>
        <v>2.7857142857142856</v>
      </c>
      <c r="U35" s="26">
        <f>(Q35-O35)/O35</f>
        <v>2.7857142857142856</v>
      </c>
      <c r="V35" s="78">
        <f>(Q35-P35)/P35</f>
        <v>2.7857142857142856</v>
      </c>
      <c r="W35" s="248">
        <f xml:space="preserve"> F35/E35</f>
        <v>0</v>
      </c>
      <c r="X35" s="249">
        <f t="shared" si="8"/>
        <v>0</v>
      </c>
      <c r="Y35" s="251">
        <f>H35/E35</f>
        <v>0.73584905660377353</v>
      </c>
    </row>
    <row r="36" spans="1:25" ht="20.100000000000001" customHeight="1">
      <c r="A36" s="15" t="s">
        <v>85</v>
      </c>
      <c r="B36" s="257" t="s">
        <v>165</v>
      </c>
      <c r="C36" s="9" t="s">
        <v>11</v>
      </c>
      <c r="D36" s="9" t="s">
        <v>11</v>
      </c>
      <c r="E36" s="10">
        <v>42</v>
      </c>
      <c r="F36" s="11">
        <v>20</v>
      </c>
      <c r="G36" s="11">
        <v>37</v>
      </c>
      <c r="H36" s="11">
        <v>34</v>
      </c>
      <c r="I36" s="11">
        <f t="shared" si="0"/>
        <v>14</v>
      </c>
      <c r="J36" s="75">
        <f t="shared" si="1"/>
        <v>-3</v>
      </c>
      <c r="K36" s="28">
        <f>PRODUCT($E36,Calculator!$E$8)</f>
        <v>189</v>
      </c>
      <c r="L36" s="11">
        <f>PRODUCT($I36,Calculator!$E$8)</f>
        <v>63</v>
      </c>
      <c r="M36" s="75">
        <f>PRODUCT($J36,Calculator!$E$8)</f>
        <v>-13.5</v>
      </c>
      <c r="N36" s="12">
        <f>60/($E36*Calculator!$E$8)</f>
        <v>0.31746031746031744</v>
      </c>
      <c r="O36" s="12">
        <f>IF(($E36=$F36),60,60/(($E36-$F36)*Calculator!$E$8))</f>
        <v>0.60606060606060608</v>
      </c>
      <c r="P36" s="77">
        <f>IF(($E36=$G36),60,60/(($E36-$G36)*Calculator!$E$8))</f>
        <v>2.6666666666666665</v>
      </c>
      <c r="Q36" s="24">
        <f>IF(($E36=$H36),60,60/(($E36-$H36)*Calculator!$E$8))</f>
        <v>1.6666666666666667</v>
      </c>
      <c r="R36" s="26">
        <f t="shared" si="2"/>
        <v>0.90909090909090928</v>
      </c>
      <c r="S36" s="26">
        <f t="shared" si="3"/>
        <v>7.3999999999999995</v>
      </c>
      <c r="T36" s="26">
        <f t="shared" si="4"/>
        <v>4.2500000000000009</v>
      </c>
      <c r="U36" s="26">
        <f t="shared" si="5"/>
        <v>1.7499999999999998</v>
      </c>
      <c r="V36" s="78">
        <f t="shared" si="6"/>
        <v>-0.37499999999999994</v>
      </c>
      <c r="W36" s="248">
        <f t="shared" si="7"/>
        <v>0.47619047619047616</v>
      </c>
      <c r="X36" s="249">
        <f t="shared" si="8"/>
        <v>0.88095238095238093</v>
      </c>
      <c r="Y36" s="251">
        <f t="shared" si="9"/>
        <v>0.80952380952380953</v>
      </c>
    </row>
    <row r="37" spans="1:25" ht="20.100000000000001" customHeight="1">
      <c r="A37" s="283" t="s">
        <v>220</v>
      </c>
      <c r="B37" s="257" t="s">
        <v>165</v>
      </c>
      <c r="C37" s="9" t="s">
        <v>11</v>
      </c>
      <c r="D37" s="9" t="s">
        <v>11</v>
      </c>
      <c r="E37" s="10">
        <v>97</v>
      </c>
      <c r="F37" s="11">
        <v>6</v>
      </c>
      <c r="G37" s="11">
        <v>6</v>
      </c>
      <c r="H37" s="11">
        <v>78</v>
      </c>
      <c r="I37" s="11">
        <f>H37-F37</f>
        <v>72</v>
      </c>
      <c r="J37" s="75">
        <f t="shared" si="1"/>
        <v>72</v>
      </c>
      <c r="K37" s="28">
        <f>PRODUCT($E37,Calculator!$E$8)</f>
        <v>436.5</v>
      </c>
      <c r="L37" s="11">
        <f>PRODUCT($I37,Calculator!$E$8)</f>
        <v>324</v>
      </c>
      <c r="M37" s="75">
        <f>PRODUCT($J37,Calculator!$E$8)</f>
        <v>324</v>
      </c>
      <c r="N37" s="12">
        <f>60/($E37*Calculator!$E$8)</f>
        <v>0.13745704467353953</v>
      </c>
      <c r="O37" s="12">
        <f>IF(($E37=$F37),60,60/(($E37-$F37)*Calculator!$E$8))</f>
        <v>0.14652014652014653</v>
      </c>
      <c r="P37" s="77">
        <f>IF(($E37=$G37),60,60/(($E37-$G37)*Calculator!$E$8))</f>
        <v>0.14652014652014653</v>
      </c>
      <c r="Q37" s="12">
        <f>IF(($E37=$H37),60,60/(($E37-$H37)*Calculator!$E$8))</f>
        <v>0.70175438596491224</v>
      </c>
      <c r="R37" s="26">
        <f>(O37-N37)/N37</f>
        <v>6.5934065934065894E-2</v>
      </c>
      <c r="S37" s="26">
        <f t="shared" si="3"/>
        <v>6.5934065934065894E-2</v>
      </c>
      <c r="T37" s="26">
        <f>(Q37-N37)/N37</f>
        <v>4.1052631578947363</v>
      </c>
      <c r="U37" s="26">
        <f>(Q37-O37)/O37</f>
        <v>3.7894736842105257</v>
      </c>
      <c r="V37" s="78">
        <f>(Q37-P37)/P37</f>
        <v>3.7894736842105257</v>
      </c>
      <c r="W37" s="248">
        <f xml:space="preserve"> F37/E37</f>
        <v>6.1855670103092786E-2</v>
      </c>
      <c r="X37" s="249">
        <f t="shared" si="8"/>
        <v>6.1855670103092786E-2</v>
      </c>
      <c r="Y37" s="251">
        <f>H37/E37</f>
        <v>0.80412371134020622</v>
      </c>
    </row>
    <row r="38" spans="1:25" ht="20.100000000000001" customHeight="1">
      <c r="A38" s="15" t="s">
        <v>86</v>
      </c>
      <c r="B38" s="257" t="s">
        <v>165</v>
      </c>
      <c r="C38" s="9"/>
      <c r="D38" s="9"/>
      <c r="E38" s="10">
        <v>22</v>
      </c>
      <c r="F38" s="11">
        <v>0</v>
      </c>
      <c r="G38" s="11">
        <v>0</v>
      </c>
      <c r="H38" s="11">
        <v>21</v>
      </c>
      <c r="I38" s="11">
        <f t="shared" si="0"/>
        <v>21</v>
      </c>
      <c r="J38" s="75">
        <f t="shared" si="1"/>
        <v>21</v>
      </c>
      <c r="K38" s="28">
        <f>PRODUCT($E38,Calculator!$E$8)</f>
        <v>99</v>
      </c>
      <c r="L38" s="11">
        <f>PRODUCT($I38,Calculator!$E$8)</f>
        <v>94.5</v>
      </c>
      <c r="M38" s="75">
        <f>PRODUCT($J38,Calculator!$E$8)</f>
        <v>94.5</v>
      </c>
      <c r="N38" s="12">
        <f>60/($E38*Calculator!$E$8)</f>
        <v>0.60606060606060608</v>
      </c>
      <c r="O38" s="12">
        <f>IF(($E38=$F38),60,60/(($E38-$F38)*Calculator!$E$8))</f>
        <v>0.60606060606060608</v>
      </c>
      <c r="P38" s="77">
        <f>IF(($E38=$G38),60,60/(($E38-$G38)*Calculator!$E$8))</f>
        <v>0.60606060606060608</v>
      </c>
      <c r="Q38" s="24">
        <f>IF(($E38=$H38),60,60/(($E38-$H38)*Calculator!$E$8))</f>
        <v>13.333333333333334</v>
      </c>
      <c r="R38" s="26">
        <f t="shared" si="2"/>
        <v>0</v>
      </c>
      <c r="S38" s="26">
        <f t="shared" si="3"/>
        <v>0</v>
      </c>
      <c r="T38" s="26">
        <f t="shared" si="4"/>
        <v>21</v>
      </c>
      <c r="U38" s="26">
        <f t="shared" si="5"/>
        <v>21</v>
      </c>
      <c r="V38" s="78">
        <f t="shared" si="6"/>
        <v>21</v>
      </c>
      <c r="W38" s="248">
        <f t="shared" si="7"/>
        <v>0</v>
      </c>
      <c r="X38" s="249">
        <f t="shared" si="8"/>
        <v>0</v>
      </c>
      <c r="Y38" s="251">
        <f t="shared" si="9"/>
        <v>0.95454545454545459</v>
      </c>
    </row>
    <row r="39" spans="1:25" ht="20.100000000000001" customHeight="1">
      <c r="A39" s="15" t="s">
        <v>87</v>
      </c>
      <c r="B39" s="257" t="s">
        <v>165</v>
      </c>
      <c r="C39" s="9"/>
      <c r="D39" s="9" t="s">
        <v>11</v>
      </c>
      <c r="E39" s="10">
        <v>42</v>
      </c>
      <c r="F39" s="11">
        <v>0</v>
      </c>
      <c r="G39" s="11">
        <v>36</v>
      </c>
      <c r="H39" s="11">
        <v>34</v>
      </c>
      <c r="I39" s="11">
        <f t="shared" si="0"/>
        <v>34</v>
      </c>
      <c r="J39" s="75">
        <f t="shared" si="1"/>
        <v>-2</v>
      </c>
      <c r="K39" s="28">
        <f>PRODUCT($E39,Calculator!$E$8)</f>
        <v>189</v>
      </c>
      <c r="L39" s="11">
        <f>PRODUCT($I39,Calculator!$E$8)</f>
        <v>153</v>
      </c>
      <c r="M39" s="75">
        <f>PRODUCT($J39,Calculator!$E$8)</f>
        <v>-9</v>
      </c>
      <c r="N39" s="12">
        <f>60/($E39*Calculator!$E$8)</f>
        <v>0.31746031746031744</v>
      </c>
      <c r="O39" s="12">
        <f>IF(($E39=$F39),60,60/(($E39-$F39)*Calculator!$E$8))</f>
        <v>0.31746031746031744</v>
      </c>
      <c r="P39" s="77">
        <f>IF(($E39=$G39),60,60/(($E39-$G39)*Calculator!$E$8))</f>
        <v>2.2222222222222223</v>
      </c>
      <c r="Q39" s="24">
        <f>IF(($E39=$H39),60,60/(($E39-$H39)*Calculator!$E$8))</f>
        <v>1.6666666666666667</v>
      </c>
      <c r="R39" s="26">
        <f t="shared" si="2"/>
        <v>0</v>
      </c>
      <c r="S39" s="26">
        <f t="shared" si="3"/>
        <v>6.0000000000000009</v>
      </c>
      <c r="T39" s="26">
        <f t="shared" si="4"/>
        <v>4.2500000000000009</v>
      </c>
      <c r="U39" s="26">
        <f t="shared" si="5"/>
        <v>4.2500000000000009</v>
      </c>
      <c r="V39" s="78">
        <f t="shared" si="6"/>
        <v>-0.25</v>
      </c>
      <c r="W39" s="248">
        <f t="shared" si="7"/>
        <v>0</v>
      </c>
      <c r="X39" s="249">
        <f t="shared" si="8"/>
        <v>0.8571428571428571</v>
      </c>
      <c r="Y39" s="251">
        <f t="shared" si="9"/>
        <v>0.80952380952380953</v>
      </c>
    </row>
    <row r="40" spans="1:25" ht="20.100000000000001" customHeight="1">
      <c r="A40" s="283" t="s">
        <v>221</v>
      </c>
      <c r="B40" s="257" t="s">
        <v>165</v>
      </c>
      <c r="C40" s="9"/>
      <c r="D40" s="103"/>
      <c r="E40" s="10">
        <v>88</v>
      </c>
      <c r="F40" s="11">
        <v>0</v>
      </c>
      <c r="G40" s="11">
        <v>0</v>
      </c>
      <c r="H40" s="11">
        <v>74</v>
      </c>
      <c r="I40" s="11">
        <f>H40-F40</f>
        <v>74</v>
      </c>
      <c r="J40" s="75">
        <f t="shared" si="1"/>
        <v>74</v>
      </c>
      <c r="K40" s="28">
        <f>PRODUCT($E40,Calculator!$E$8)</f>
        <v>396</v>
      </c>
      <c r="L40" s="11">
        <f>PRODUCT($I40,Calculator!$E$8)</f>
        <v>333</v>
      </c>
      <c r="M40" s="75">
        <f>PRODUCT($J40,Calculator!$E$8)</f>
        <v>333</v>
      </c>
      <c r="N40" s="12">
        <f>60/($E40*Calculator!$E$8)</f>
        <v>0.15151515151515152</v>
      </c>
      <c r="O40" s="12">
        <f>IF(($E40=$F40),60,60/(($E40-$F40)*Calculator!$E$8))</f>
        <v>0.15151515151515152</v>
      </c>
      <c r="P40" s="77">
        <f>IF(($E40=$G40),60,60/(($E40-$G40)*Calculator!$E$8))</f>
        <v>0.15151515151515152</v>
      </c>
      <c r="Q40" s="12">
        <f>IF(($E40=$H40),60,60/(($E40-$H40)*Calculator!$E$8))</f>
        <v>0.95238095238095233</v>
      </c>
      <c r="R40" s="26">
        <f>(O40-N40)/N40</f>
        <v>0</v>
      </c>
      <c r="S40" s="26">
        <f t="shared" si="3"/>
        <v>0</v>
      </c>
      <c r="T40" s="26">
        <f>(Q40-N40)/N40</f>
        <v>5.2857142857142856</v>
      </c>
      <c r="U40" s="26">
        <f>(Q40-O40)/O40</f>
        <v>5.2857142857142856</v>
      </c>
      <c r="V40" s="78">
        <f>(Q40-P40)/P40</f>
        <v>5.2857142857142856</v>
      </c>
      <c r="W40" s="248">
        <f xml:space="preserve"> F40/E40</f>
        <v>0</v>
      </c>
      <c r="X40" s="249">
        <f t="shared" si="8"/>
        <v>0</v>
      </c>
      <c r="Y40" s="251">
        <f>H40/E40</f>
        <v>0.84090909090909094</v>
      </c>
    </row>
    <row r="41" spans="1:25" ht="20.100000000000001" customHeight="1">
      <c r="A41" s="15" t="s">
        <v>188</v>
      </c>
      <c r="B41" s="257" t="s">
        <v>166</v>
      </c>
      <c r="C41" s="9"/>
      <c r="D41" s="9"/>
      <c r="E41" s="10">
        <v>2</v>
      </c>
      <c r="F41" s="11">
        <v>0</v>
      </c>
      <c r="G41" s="11">
        <v>0</v>
      </c>
      <c r="H41" s="11">
        <v>1</v>
      </c>
      <c r="I41" s="11">
        <f t="shared" si="0"/>
        <v>1</v>
      </c>
      <c r="J41" s="75">
        <f t="shared" si="1"/>
        <v>1</v>
      </c>
      <c r="K41" s="28">
        <f>PRODUCT($E41,Calculator!$E$8)</f>
        <v>9</v>
      </c>
      <c r="L41" s="11">
        <f>PRODUCT($I41,Calculator!$E$8)</f>
        <v>4.5</v>
      </c>
      <c r="M41" s="75">
        <f>PRODUCT($J41,Calculator!$E$8)</f>
        <v>4.5</v>
      </c>
      <c r="N41" s="12">
        <f>60/($E41*Calculator!$E$8)</f>
        <v>6.666666666666667</v>
      </c>
      <c r="O41" s="12">
        <f>IF(($E41=$F41),60,60/(($E41-$F41)*Calculator!$E$8))</f>
        <v>6.666666666666667</v>
      </c>
      <c r="P41" s="77">
        <f>IF(($E41=$G41),60,60/(($E41-$G41)*Calculator!$E$8))</f>
        <v>6.666666666666667</v>
      </c>
      <c r="Q41" s="24">
        <f>IF(($E41=$H41),60,60/(($E41-$H41)*Calculator!$E$8))</f>
        <v>13.333333333333334</v>
      </c>
      <c r="R41" s="26">
        <f t="shared" si="2"/>
        <v>0</v>
      </c>
      <c r="S41" s="26">
        <f t="shared" si="3"/>
        <v>0</v>
      </c>
      <c r="T41" s="26">
        <f t="shared" si="4"/>
        <v>1</v>
      </c>
      <c r="U41" s="26">
        <f t="shared" si="5"/>
        <v>1</v>
      </c>
      <c r="V41" s="78">
        <f t="shared" si="6"/>
        <v>1</v>
      </c>
      <c r="W41" s="248">
        <f t="shared" si="7"/>
        <v>0</v>
      </c>
      <c r="X41" s="249">
        <f t="shared" si="8"/>
        <v>0</v>
      </c>
      <c r="Y41" s="251">
        <f t="shared" si="9"/>
        <v>0.5</v>
      </c>
    </row>
    <row r="42" spans="1:25" ht="20.100000000000001" customHeight="1">
      <c r="A42" s="7" t="s">
        <v>189</v>
      </c>
      <c r="B42" s="257" t="s">
        <v>165</v>
      </c>
      <c r="C42" s="9" t="s">
        <v>11</v>
      </c>
      <c r="D42" s="9" t="s">
        <v>11</v>
      </c>
      <c r="E42" s="10">
        <v>46</v>
      </c>
      <c r="F42" s="11">
        <v>36</v>
      </c>
      <c r="G42" s="11">
        <v>44</v>
      </c>
      <c r="H42" s="13">
        <v>45</v>
      </c>
      <c r="I42" s="10">
        <f t="shared" si="0"/>
        <v>9</v>
      </c>
      <c r="J42" s="75">
        <f t="shared" si="1"/>
        <v>1</v>
      </c>
      <c r="K42" s="10">
        <f>PRODUCT($E42,Calculator!$E$8)</f>
        <v>207</v>
      </c>
      <c r="L42" s="13">
        <f>PRODUCT($I42,Calculator!$E$8)</f>
        <v>40.5</v>
      </c>
      <c r="M42" s="75">
        <f>PRODUCT($J42,Calculator!$E$8)</f>
        <v>4.5</v>
      </c>
      <c r="N42" s="14">
        <f>60/($E42*Calculator!$E$8)</f>
        <v>0.28985507246376813</v>
      </c>
      <c r="O42" s="12">
        <f>IF(($E42=$F42),60,60/(($E42-$F42)*Calculator!$E$8))</f>
        <v>1.3333333333333333</v>
      </c>
      <c r="P42" s="77">
        <f>IF(($E42=$G42),60,60/(($E42-$G42)*Calculator!$E$8))</f>
        <v>6.666666666666667</v>
      </c>
      <c r="Q42" s="25">
        <f>IF(($E42=$H42),60,60/(($E42-$H42)*Calculator!$E$8))</f>
        <v>13.333333333333334</v>
      </c>
      <c r="R42" s="27">
        <f t="shared" si="2"/>
        <v>3.5999999999999996</v>
      </c>
      <c r="S42" s="26">
        <f t="shared" si="3"/>
        <v>22</v>
      </c>
      <c r="T42" s="26">
        <f t="shared" si="4"/>
        <v>45</v>
      </c>
      <c r="U42" s="27">
        <f t="shared" si="5"/>
        <v>9</v>
      </c>
      <c r="V42" s="78">
        <f t="shared" si="6"/>
        <v>1</v>
      </c>
      <c r="W42" s="248">
        <f t="shared" si="7"/>
        <v>0.78260869565217395</v>
      </c>
      <c r="X42" s="249">
        <f t="shared" si="8"/>
        <v>0.95652173913043481</v>
      </c>
      <c r="Y42" s="251">
        <f t="shared" si="9"/>
        <v>0.97826086956521741</v>
      </c>
    </row>
    <row r="43" spans="1:25" ht="20.100000000000001" customHeight="1">
      <c r="A43" s="7" t="s">
        <v>190</v>
      </c>
      <c r="B43" s="257" t="s">
        <v>165</v>
      </c>
      <c r="C43" s="9"/>
      <c r="D43" s="103"/>
      <c r="E43" s="10">
        <v>67</v>
      </c>
      <c r="F43" s="11">
        <v>0</v>
      </c>
      <c r="G43" s="11">
        <v>0</v>
      </c>
      <c r="H43" s="13">
        <v>47</v>
      </c>
      <c r="I43" s="11">
        <f t="shared" si="0"/>
        <v>47</v>
      </c>
      <c r="J43" s="75">
        <f t="shared" si="1"/>
        <v>47</v>
      </c>
      <c r="K43" s="28">
        <f>PRODUCT($E43,Calculator!$E$8)</f>
        <v>301.5</v>
      </c>
      <c r="L43" s="13">
        <f>PRODUCT($I43,Calculator!$E$8)</f>
        <v>211.5</v>
      </c>
      <c r="M43" s="75">
        <f>PRODUCT($J43,Calculator!$E$8)</f>
        <v>211.5</v>
      </c>
      <c r="N43" s="12">
        <f>60/($E43*Calculator!$E$8)</f>
        <v>0.19900497512437812</v>
      </c>
      <c r="O43" s="12">
        <f>IF(($E43=$F43),60,60/(($E43-$F43)*Calculator!$E$8))</f>
        <v>0.19900497512437812</v>
      </c>
      <c r="P43" s="77">
        <f>IF(($E43=$G43),60,60/(($E43-$G43)*Calculator!$E$8))</f>
        <v>0.19900497512437812</v>
      </c>
      <c r="Q43" s="12">
        <f>IF(($E43=$H43),60,60/(($E43-$H43)*Calculator!$E$8))</f>
        <v>0.66666666666666663</v>
      </c>
      <c r="R43" s="26">
        <f t="shared" si="2"/>
        <v>0</v>
      </c>
      <c r="S43" s="26">
        <f t="shared" si="3"/>
        <v>0</v>
      </c>
      <c r="T43" s="26">
        <f t="shared" si="4"/>
        <v>2.3499999999999996</v>
      </c>
      <c r="U43" s="26">
        <f t="shared" si="5"/>
        <v>2.3499999999999996</v>
      </c>
      <c r="V43" s="78">
        <f t="shared" si="6"/>
        <v>2.3499999999999996</v>
      </c>
      <c r="W43" s="248">
        <f t="shared" si="7"/>
        <v>0</v>
      </c>
      <c r="X43" s="249">
        <f t="shared" si="8"/>
        <v>0</v>
      </c>
      <c r="Y43" s="251">
        <f t="shared" si="9"/>
        <v>0.70149253731343286</v>
      </c>
    </row>
    <row r="44" spans="1:25" ht="20.100000000000001" customHeight="1">
      <c r="A44" s="7" t="s">
        <v>12</v>
      </c>
      <c r="B44" s="257" t="s">
        <v>167</v>
      </c>
      <c r="C44" s="9"/>
      <c r="D44" s="9"/>
      <c r="E44" s="10">
        <v>88</v>
      </c>
      <c r="F44" s="10">
        <v>0</v>
      </c>
      <c r="G44" s="10">
        <v>0</v>
      </c>
      <c r="H44" s="10">
        <v>75</v>
      </c>
      <c r="I44" s="10">
        <f t="shared" si="0"/>
        <v>75</v>
      </c>
      <c r="J44" s="75">
        <f t="shared" si="1"/>
        <v>75</v>
      </c>
      <c r="K44" s="10">
        <f>PRODUCT($E44,Calculator!$E$8)</f>
        <v>396</v>
      </c>
      <c r="L44" s="11">
        <f>PRODUCT($I44,Calculator!$E$8)</f>
        <v>337.5</v>
      </c>
      <c r="M44" s="75">
        <f>PRODUCT($J44,Calculator!$E$8)</f>
        <v>337.5</v>
      </c>
      <c r="N44" s="12">
        <f>60/($E44*Calculator!$E$8)</f>
        <v>0.15151515151515152</v>
      </c>
      <c r="O44" s="12">
        <f>IF(($E44=$F44),60,60/(($E44-$F44)*Calculator!$E$8))</f>
        <v>0.15151515151515152</v>
      </c>
      <c r="P44" s="77">
        <f>IF(($E44=$G44),60,60/(($E44-$G44)*Calculator!$E$8))</f>
        <v>0.15151515151515152</v>
      </c>
      <c r="Q44" s="24">
        <f>IF(($E44=$H44),60,60/(($E44-$H44)*Calculator!$E$8))</f>
        <v>1.0256410256410255</v>
      </c>
      <c r="R44" s="26">
        <f t="shared" si="2"/>
        <v>0</v>
      </c>
      <c r="S44" s="26">
        <f t="shared" si="3"/>
        <v>0</v>
      </c>
      <c r="T44" s="26">
        <f t="shared" si="4"/>
        <v>5.7692307692307683</v>
      </c>
      <c r="U44" s="26">
        <f t="shared" si="5"/>
        <v>5.7692307692307683</v>
      </c>
      <c r="V44" s="78">
        <f t="shared" si="6"/>
        <v>5.7692307692307683</v>
      </c>
      <c r="W44" s="248">
        <f t="shared" si="7"/>
        <v>0</v>
      </c>
      <c r="X44" s="249">
        <f t="shared" si="8"/>
        <v>0</v>
      </c>
      <c r="Y44" s="251">
        <f t="shared" si="9"/>
        <v>0.85227272727272729</v>
      </c>
    </row>
    <row r="45" spans="1:25" ht="20.100000000000001" customHeight="1">
      <c r="A45" s="7" t="s">
        <v>13</v>
      </c>
      <c r="B45" s="257" t="s">
        <v>165</v>
      </c>
      <c r="C45" s="9" t="s">
        <v>11</v>
      </c>
      <c r="D45" s="9" t="s">
        <v>11</v>
      </c>
      <c r="E45" s="10">
        <v>16</v>
      </c>
      <c r="F45" s="11">
        <v>4</v>
      </c>
      <c r="G45" s="11">
        <v>13</v>
      </c>
      <c r="H45" s="11">
        <v>14</v>
      </c>
      <c r="I45" s="10">
        <f t="shared" si="0"/>
        <v>10</v>
      </c>
      <c r="J45" s="75">
        <f t="shared" si="1"/>
        <v>1</v>
      </c>
      <c r="K45" s="10">
        <f>PRODUCT($E45,Calculator!$E$8)</f>
        <v>72</v>
      </c>
      <c r="L45" s="11">
        <f>PRODUCT($I45,Calculator!$E$8)</f>
        <v>45</v>
      </c>
      <c r="M45" s="75">
        <f>PRODUCT($J45,Calculator!$E$8)</f>
        <v>4.5</v>
      </c>
      <c r="N45" s="12">
        <f>60/($E45*Calculator!$E$8)</f>
        <v>0.83333333333333337</v>
      </c>
      <c r="O45" s="12">
        <f>IF(($E45=$F45),60,60/(($E45-$F45)*Calculator!$E$8))</f>
        <v>1.1111111111111112</v>
      </c>
      <c r="P45" s="77">
        <f>IF(($E45=$G45),60,60/(($E45-$G45)*Calculator!$E$8))</f>
        <v>4.4444444444444446</v>
      </c>
      <c r="Q45" s="24">
        <f>IF(($E45=$H45),60,60/(($E45-$H45)*Calculator!$E$8))</f>
        <v>6.666666666666667</v>
      </c>
      <c r="R45" s="26">
        <f t="shared" si="2"/>
        <v>0.33333333333333331</v>
      </c>
      <c r="S45" s="26">
        <f t="shared" si="3"/>
        <v>4.333333333333333</v>
      </c>
      <c r="T45" s="26">
        <f t="shared" si="4"/>
        <v>7</v>
      </c>
      <c r="U45" s="26">
        <f t="shared" si="5"/>
        <v>5</v>
      </c>
      <c r="V45" s="78">
        <f t="shared" si="6"/>
        <v>0.5</v>
      </c>
      <c r="W45" s="248">
        <f t="shared" si="7"/>
        <v>0.25</v>
      </c>
      <c r="X45" s="249">
        <f t="shared" si="8"/>
        <v>0.8125</v>
      </c>
      <c r="Y45" s="251">
        <f t="shared" si="9"/>
        <v>0.875</v>
      </c>
    </row>
    <row r="46" spans="1:25" ht="20.100000000000001" customHeight="1">
      <c r="A46" s="7" t="s">
        <v>14</v>
      </c>
      <c r="B46" s="257" t="s">
        <v>167</v>
      </c>
      <c r="C46" s="10"/>
      <c r="D46" s="10"/>
      <c r="E46" s="10">
        <v>18</v>
      </c>
      <c r="F46" s="11">
        <v>0</v>
      </c>
      <c r="G46" s="11">
        <v>0</v>
      </c>
      <c r="H46" s="13">
        <v>18</v>
      </c>
      <c r="I46" s="10">
        <f t="shared" si="0"/>
        <v>18</v>
      </c>
      <c r="J46" s="75">
        <f t="shared" si="1"/>
        <v>18</v>
      </c>
      <c r="K46" s="10">
        <f>PRODUCT($E46,Calculator!$E$8)</f>
        <v>81</v>
      </c>
      <c r="L46" s="13">
        <f>PRODUCT($I46,Calculator!$E$8)</f>
        <v>81</v>
      </c>
      <c r="M46" s="75">
        <f>PRODUCT($J46,Calculator!$E$8)</f>
        <v>81</v>
      </c>
      <c r="N46" s="14">
        <f>60/($E46*Calculator!$E$8)</f>
        <v>0.7407407407407407</v>
      </c>
      <c r="O46" s="12">
        <f>IF(($E46=$F46),60,60/(($E46-$F46)*Calculator!$E$8))</f>
        <v>0.7407407407407407</v>
      </c>
      <c r="P46" s="77">
        <f>IF(($E46=$G46),60,60/(($E46-$G46)*Calculator!$E$8))</f>
        <v>0.7407407407407407</v>
      </c>
      <c r="Q46" s="25">
        <f>IF(($E46=$H46),60,60/(($E46-$H46)*Calculator!$E$8))</f>
        <v>60</v>
      </c>
      <c r="R46" s="27">
        <f t="shared" si="2"/>
        <v>0</v>
      </c>
      <c r="S46" s="26">
        <f t="shared" si="3"/>
        <v>0</v>
      </c>
      <c r="T46" s="26">
        <f t="shared" si="4"/>
        <v>80</v>
      </c>
      <c r="U46" s="27">
        <f t="shared" si="5"/>
        <v>80</v>
      </c>
      <c r="V46" s="78">
        <f t="shared" si="6"/>
        <v>80</v>
      </c>
      <c r="W46" s="248">
        <f t="shared" si="7"/>
        <v>0</v>
      </c>
      <c r="X46" s="249">
        <f t="shared" si="8"/>
        <v>0</v>
      </c>
      <c r="Y46" s="251">
        <f t="shared" si="9"/>
        <v>1</v>
      </c>
    </row>
    <row r="47" spans="1:25" ht="20.100000000000001" customHeight="1">
      <c r="A47" s="7" t="s">
        <v>15</v>
      </c>
      <c r="B47" s="257" t="s">
        <v>165</v>
      </c>
      <c r="C47" s="10"/>
      <c r="D47" s="10"/>
      <c r="E47" s="10">
        <v>16</v>
      </c>
      <c r="F47" s="11">
        <v>0</v>
      </c>
      <c r="G47" s="11">
        <v>0</v>
      </c>
      <c r="H47" s="13">
        <v>16</v>
      </c>
      <c r="I47" s="11">
        <f t="shared" si="0"/>
        <v>16</v>
      </c>
      <c r="J47" s="75">
        <f t="shared" si="1"/>
        <v>16</v>
      </c>
      <c r="K47" s="28">
        <f>PRODUCT($E47,Calculator!$E$8)</f>
        <v>72</v>
      </c>
      <c r="L47" s="13">
        <f>PRODUCT($I47,Calculator!$E$8)</f>
        <v>72</v>
      </c>
      <c r="M47" s="75">
        <f>PRODUCT($J47,Calculator!$E$8)</f>
        <v>72</v>
      </c>
      <c r="N47" s="12">
        <f>60/($E47*Calculator!$E$8)</f>
        <v>0.83333333333333337</v>
      </c>
      <c r="O47" s="12">
        <f>IF(($E47=$F47),60,60/(($E47-$F47)*Calculator!$E$8))</f>
        <v>0.83333333333333337</v>
      </c>
      <c r="P47" s="77">
        <f>IF(($E47=$G47),60,60/(($E47-$G47)*Calculator!$E$8))</f>
        <v>0.83333333333333337</v>
      </c>
      <c r="Q47" s="12">
        <f>IF(($E47=$H47),60,60/(($E47-$H47)*Calculator!$E$8))</f>
        <v>60</v>
      </c>
      <c r="R47" s="26">
        <f t="shared" si="2"/>
        <v>0</v>
      </c>
      <c r="S47" s="26">
        <f t="shared" si="3"/>
        <v>0</v>
      </c>
      <c r="T47" s="26">
        <f t="shared" si="4"/>
        <v>71</v>
      </c>
      <c r="U47" s="26">
        <f t="shared" si="5"/>
        <v>71</v>
      </c>
      <c r="V47" s="78">
        <f t="shared" si="6"/>
        <v>71</v>
      </c>
      <c r="W47" s="248">
        <f t="shared" si="7"/>
        <v>0</v>
      </c>
      <c r="X47" s="249">
        <f t="shared" si="8"/>
        <v>0</v>
      </c>
      <c r="Y47" s="251">
        <f t="shared" si="9"/>
        <v>1</v>
      </c>
    </row>
    <row r="48" spans="1:25" ht="20.100000000000001" customHeight="1">
      <c r="A48" s="7" t="s">
        <v>68</v>
      </c>
      <c r="B48" s="257" t="s">
        <v>165</v>
      </c>
      <c r="C48" s="9" t="s">
        <v>11</v>
      </c>
      <c r="D48" s="9" t="s">
        <v>11</v>
      </c>
      <c r="E48" s="10">
        <v>68</v>
      </c>
      <c r="F48" s="11">
        <v>68</v>
      </c>
      <c r="G48" s="11">
        <v>41</v>
      </c>
      <c r="H48" s="13">
        <v>68</v>
      </c>
      <c r="I48" s="11">
        <f t="shared" si="0"/>
        <v>0</v>
      </c>
      <c r="J48" s="75">
        <f t="shared" si="1"/>
        <v>27</v>
      </c>
      <c r="K48" s="28">
        <f>PRODUCT($E48,Calculator!$E$8)</f>
        <v>306</v>
      </c>
      <c r="L48" s="13">
        <f>PRODUCT($I48,Calculator!$E$8)</f>
        <v>0</v>
      </c>
      <c r="M48" s="75">
        <f>PRODUCT($J48,Calculator!$E$8)</f>
        <v>121.5</v>
      </c>
      <c r="N48" s="12">
        <f>60/($E48*Calculator!$E$8)</f>
        <v>0.19607843137254902</v>
      </c>
      <c r="O48" s="12">
        <f>IF(($E48=$F48),60,60/(($E48-$F48)*Calculator!$E$8))</f>
        <v>60</v>
      </c>
      <c r="P48" s="77">
        <f>IF(($E48=$G48),60,60/(($E48-$G48)*Calculator!$E$8))</f>
        <v>0.49382716049382713</v>
      </c>
      <c r="Q48" s="12">
        <f>IF(($E48=$H48),60,60/(($E48-$H48)*Calculator!$E$8))</f>
        <v>60</v>
      </c>
      <c r="R48" s="26">
        <f t="shared" si="2"/>
        <v>305</v>
      </c>
      <c r="S48" s="26">
        <f t="shared" si="3"/>
        <v>1.5185185185185186</v>
      </c>
      <c r="T48" s="26">
        <f t="shared" si="4"/>
        <v>305</v>
      </c>
      <c r="U48" s="26">
        <f t="shared" si="5"/>
        <v>0</v>
      </c>
      <c r="V48" s="78">
        <f t="shared" si="6"/>
        <v>120.5</v>
      </c>
      <c r="W48" s="248">
        <f t="shared" si="7"/>
        <v>1</v>
      </c>
      <c r="X48" s="249">
        <f t="shared" si="8"/>
        <v>0.6029411764705882</v>
      </c>
      <c r="Y48" s="251">
        <f t="shared" si="9"/>
        <v>1</v>
      </c>
    </row>
    <row r="49" spans="1:25" ht="20.100000000000001" customHeight="1">
      <c r="A49" s="7" t="s">
        <v>16</v>
      </c>
      <c r="B49" s="257" t="s">
        <v>165</v>
      </c>
      <c r="C49" s="9" t="s">
        <v>11</v>
      </c>
      <c r="D49" s="9" t="s">
        <v>11</v>
      </c>
      <c r="E49" s="10">
        <v>59</v>
      </c>
      <c r="F49" s="11">
        <v>48</v>
      </c>
      <c r="G49" s="11">
        <v>54</v>
      </c>
      <c r="H49" s="13">
        <v>58</v>
      </c>
      <c r="I49" s="10">
        <f t="shared" si="0"/>
        <v>10</v>
      </c>
      <c r="J49" s="75">
        <f t="shared" si="1"/>
        <v>4</v>
      </c>
      <c r="K49" s="10">
        <f>PRODUCT($E49,Calculator!$E$8)</f>
        <v>265.5</v>
      </c>
      <c r="L49" s="13">
        <f>PRODUCT($I49,Calculator!$E$8)</f>
        <v>45</v>
      </c>
      <c r="M49" s="75">
        <f>PRODUCT($J49,Calculator!$E$8)</f>
        <v>18</v>
      </c>
      <c r="N49" s="14">
        <f>60/($E49*Calculator!$E$8)</f>
        <v>0.22598870056497175</v>
      </c>
      <c r="O49" s="12">
        <f>IF(($E49=$F49),60,60/(($E49-$F49)*Calculator!$E$8))</f>
        <v>1.2121212121212122</v>
      </c>
      <c r="P49" s="77">
        <f>IF(($E49=$G49),60,60/(($E49-$G49)*Calculator!$E$8))</f>
        <v>2.6666666666666665</v>
      </c>
      <c r="Q49" s="25">
        <f>IF(($E49=$H49),60,60/(($E49-$H49)*Calculator!$E$8))</f>
        <v>13.333333333333334</v>
      </c>
      <c r="R49" s="27">
        <f t="shared" si="2"/>
        <v>4.3636363636363633</v>
      </c>
      <c r="S49" s="26">
        <f t="shared" si="3"/>
        <v>10.799999999999999</v>
      </c>
      <c r="T49" s="26">
        <f t="shared" si="4"/>
        <v>58</v>
      </c>
      <c r="U49" s="27">
        <f t="shared" si="5"/>
        <v>10</v>
      </c>
      <c r="V49" s="78">
        <f t="shared" si="6"/>
        <v>4.0000000000000009</v>
      </c>
      <c r="W49" s="248">
        <f t="shared" si="7"/>
        <v>0.81355932203389836</v>
      </c>
      <c r="X49" s="249">
        <f t="shared" si="8"/>
        <v>0.9152542372881356</v>
      </c>
      <c r="Y49" s="251">
        <f t="shared" si="9"/>
        <v>0.98305084745762716</v>
      </c>
    </row>
    <row r="50" spans="1:25" ht="20.100000000000001" customHeight="1">
      <c r="A50" s="7" t="s">
        <v>17</v>
      </c>
      <c r="B50" s="257" t="s">
        <v>167</v>
      </c>
      <c r="C50" s="10"/>
      <c r="D50" s="10"/>
      <c r="E50" s="10">
        <v>48</v>
      </c>
      <c r="F50" s="11">
        <v>0</v>
      </c>
      <c r="G50" s="11">
        <v>0</v>
      </c>
      <c r="H50" s="13">
        <v>48</v>
      </c>
      <c r="I50" s="10">
        <f t="shared" si="0"/>
        <v>48</v>
      </c>
      <c r="J50" s="75">
        <f t="shared" si="1"/>
        <v>48</v>
      </c>
      <c r="K50" s="10">
        <f>PRODUCT($E50,Calculator!$E$8)</f>
        <v>216</v>
      </c>
      <c r="L50" s="13">
        <f>PRODUCT($I50,Calculator!$E$8)</f>
        <v>216</v>
      </c>
      <c r="M50" s="75">
        <f>PRODUCT($J50,Calculator!$E$8)</f>
        <v>216</v>
      </c>
      <c r="N50" s="14">
        <f>60/($E50*Calculator!$E$8)</f>
        <v>0.27777777777777779</v>
      </c>
      <c r="O50" s="12">
        <f>IF(($E50=$F50),60,60/(($E50-$F50)*Calculator!$E$8))</f>
        <v>0.27777777777777779</v>
      </c>
      <c r="P50" s="77">
        <f>IF(($E50=$G50),60,60/(($E50-$G50)*Calculator!$E$8))</f>
        <v>0.27777777777777779</v>
      </c>
      <c r="Q50" s="25">
        <f>IF(($E50=$H50),60,60/(($E50-$H50)*Calculator!$E$8))</f>
        <v>60</v>
      </c>
      <c r="R50" s="27">
        <f t="shared" si="2"/>
        <v>0</v>
      </c>
      <c r="S50" s="26">
        <f t="shared" si="3"/>
        <v>0</v>
      </c>
      <c r="T50" s="26">
        <f t="shared" si="4"/>
        <v>215</v>
      </c>
      <c r="U50" s="27">
        <f t="shared" si="5"/>
        <v>215</v>
      </c>
      <c r="V50" s="78">
        <f t="shared" si="6"/>
        <v>215</v>
      </c>
      <c r="W50" s="248">
        <f t="shared" si="7"/>
        <v>0</v>
      </c>
      <c r="X50" s="249">
        <f t="shared" si="8"/>
        <v>0</v>
      </c>
      <c r="Y50" s="251">
        <f t="shared" si="9"/>
        <v>1</v>
      </c>
    </row>
    <row r="51" spans="1:25" ht="20.100000000000001" customHeight="1">
      <c r="A51" s="7" t="s">
        <v>18</v>
      </c>
      <c r="B51" s="257" t="s">
        <v>165</v>
      </c>
      <c r="C51" s="10"/>
      <c r="D51" s="10"/>
      <c r="E51" s="10">
        <v>41</v>
      </c>
      <c r="F51" s="11">
        <v>0</v>
      </c>
      <c r="G51" s="11">
        <v>0</v>
      </c>
      <c r="H51" s="13">
        <v>41</v>
      </c>
      <c r="I51" s="10">
        <f t="shared" ref="I51:I82" si="10">H51-F51</f>
        <v>41</v>
      </c>
      <c r="J51" s="75">
        <f t="shared" ref="J51:J82" si="11">H51-G51</f>
        <v>41</v>
      </c>
      <c r="K51" s="10">
        <f>PRODUCT($E51,Calculator!$E$8)</f>
        <v>184.5</v>
      </c>
      <c r="L51" s="13">
        <f>PRODUCT($I51,Calculator!$E$8)</f>
        <v>184.5</v>
      </c>
      <c r="M51" s="75">
        <f>PRODUCT($J51,Calculator!$E$8)</f>
        <v>184.5</v>
      </c>
      <c r="N51" s="14">
        <f>60/($E51*Calculator!$E$8)</f>
        <v>0.32520325203252032</v>
      </c>
      <c r="O51" s="12">
        <f>IF(($E51=$F51),60,60/(($E51-$F51)*Calculator!$E$8))</f>
        <v>0.32520325203252032</v>
      </c>
      <c r="P51" s="77">
        <f>IF(($E51=$G51),60,60/(($E51-$G51)*Calculator!$E$8))</f>
        <v>0.32520325203252032</v>
      </c>
      <c r="Q51" s="25">
        <f>IF(($E51=$H51),60,60/(($E51-$H51)*Calculator!$E$8))</f>
        <v>60</v>
      </c>
      <c r="R51" s="27">
        <f t="shared" ref="R51:R82" si="12">(O51-N51)/N51</f>
        <v>0</v>
      </c>
      <c r="S51" s="26">
        <f t="shared" ref="S51:S82" si="13">(P51-N51)/N51</f>
        <v>0</v>
      </c>
      <c r="T51" s="26">
        <f t="shared" ref="T51:T82" si="14">(Q51-N51)/N51</f>
        <v>183.5</v>
      </c>
      <c r="U51" s="27">
        <f t="shared" ref="U51:U82" si="15">(Q51-O51)/O51</f>
        <v>183.5</v>
      </c>
      <c r="V51" s="78">
        <f t="shared" ref="V51:V82" si="16">(Q51-P51)/P51</f>
        <v>183.5</v>
      </c>
      <c r="W51" s="248">
        <f t="shared" ref="W51:W82" si="17" xml:space="preserve"> F51/E51</f>
        <v>0</v>
      </c>
      <c r="X51" s="249">
        <f t="shared" ref="X51:X82" si="18" xml:space="preserve"> G51/E51</f>
        <v>0</v>
      </c>
      <c r="Y51" s="251">
        <f t="shared" ref="Y51:Y82" si="19">H51/E51</f>
        <v>1</v>
      </c>
    </row>
    <row r="52" spans="1:25" ht="20.100000000000001" customHeight="1">
      <c r="A52" s="7" t="s">
        <v>72</v>
      </c>
      <c r="B52" s="257" t="s">
        <v>165</v>
      </c>
      <c r="C52" s="10"/>
      <c r="D52" s="10"/>
      <c r="E52" s="10">
        <v>68</v>
      </c>
      <c r="F52" s="11">
        <v>0</v>
      </c>
      <c r="G52" s="11">
        <v>0</v>
      </c>
      <c r="H52" s="13">
        <v>49</v>
      </c>
      <c r="I52" s="10">
        <f t="shared" si="10"/>
        <v>49</v>
      </c>
      <c r="J52" s="75">
        <f t="shared" si="11"/>
        <v>49</v>
      </c>
      <c r="K52" s="10">
        <f>PRODUCT($E52,Calculator!$E$8)</f>
        <v>306</v>
      </c>
      <c r="L52" s="13">
        <f>PRODUCT($I52,Calculator!$E$8)</f>
        <v>220.5</v>
      </c>
      <c r="M52" s="75">
        <f>PRODUCT($J52,Calculator!$E$8)</f>
        <v>220.5</v>
      </c>
      <c r="N52" s="14">
        <f>60/($E52*Calculator!$E$8)</f>
        <v>0.19607843137254902</v>
      </c>
      <c r="O52" s="12">
        <f>IF(($E52=$F52),60,60/(($E52-$F52)*Calculator!$E$8))</f>
        <v>0.19607843137254902</v>
      </c>
      <c r="P52" s="77">
        <f>IF(($E52=$G52),60,60/(($E52-$G52)*Calculator!$E$8))</f>
        <v>0.19607843137254902</v>
      </c>
      <c r="Q52" s="25">
        <f>IF(($E52=$H52),60,60/(($E52-$H52)*Calculator!$E$8))</f>
        <v>0.70175438596491224</v>
      </c>
      <c r="R52" s="27">
        <f t="shared" si="12"/>
        <v>0</v>
      </c>
      <c r="S52" s="26">
        <f t="shared" si="13"/>
        <v>0</v>
      </c>
      <c r="T52" s="26">
        <f t="shared" si="14"/>
        <v>2.5789473684210527</v>
      </c>
      <c r="U52" s="27">
        <f t="shared" si="15"/>
        <v>2.5789473684210527</v>
      </c>
      <c r="V52" s="78">
        <f t="shared" si="16"/>
        <v>2.5789473684210527</v>
      </c>
      <c r="W52" s="248">
        <f t="shared" si="17"/>
        <v>0</v>
      </c>
      <c r="X52" s="249">
        <f t="shared" si="18"/>
        <v>0</v>
      </c>
      <c r="Y52" s="251">
        <f t="shared" si="19"/>
        <v>0.72058823529411764</v>
      </c>
    </row>
    <row r="53" spans="1:25" ht="20.100000000000001" customHeight="1">
      <c r="A53" s="7" t="s">
        <v>73</v>
      </c>
      <c r="B53" s="257" t="s">
        <v>165</v>
      </c>
      <c r="C53" s="10"/>
      <c r="D53" s="10"/>
      <c r="E53" s="10">
        <v>64</v>
      </c>
      <c r="F53" s="11">
        <v>0</v>
      </c>
      <c r="G53" s="11">
        <v>0</v>
      </c>
      <c r="H53" s="13">
        <v>47</v>
      </c>
      <c r="I53" s="10">
        <f t="shared" si="10"/>
        <v>47</v>
      </c>
      <c r="J53" s="75">
        <f t="shared" si="11"/>
        <v>47</v>
      </c>
      <c r="K53" s="10">
        <f>PRODUCT($E53,Calculator!$E$8)</f>
        <v>288</v>
      </c>
      <c r="L53" s="13">
        <f>PRODUCT($I53,Calculator!$E$8)</f>
        <v>211.5</v>
      </c>
      <c r="M53" s="75">
        <f>PRODUCT($J53,Calculator!$E$8)</f>
        <v>211.5</v>
      </c>
      <c r="N53" s="14">
        <f>60/($E53*Calculator!$E$8)</f>
        <v>0.20833333333333334</v>
      </c>
      <c r="O53" s="12">
        <f>IF(($E53=$F53),60,60/(($E53-$F53)*Calculator!$E$8))</f>
        <v>0.20833333333333334</v>
      </c>
      <c r="P53" s="77">
        <f>IF(($E53=$G53),60,60/(($E53-$G53)*Calculator!$E$8))</f>
        <v>0.20833333333333334</v>
      </c>
      <c r="Q53" s="25">
        <f>IF(($E53=$H53),60,60/(($E53-$H53)*Calculator!$E$8))</f>
        <v>0.78431372549019607</v>
      </c>
      <c r="R53" s="27">
        <f t="shared" si="12"/>
        <v>0</v>
      </c>
      <c r="S53" s="26">
        <f t="shared" si="13"/>
        <v>0</v>
      </c>
      <c r="T53" s="26">
        <f t="shared" si="14"/>
        <v>2.7647058823529407</v>
      </c>
      <c r="U53" s="27">
        <f t="shared" si="15"/>
        <v>2.7647058823529407</v>
      </c>
      <c r="V53" s="78">
        <f t="shared" si="16"/>
        <v>2.7647058823529407</v>
      </c>
      <c r="W53" s="248">
        <f t="shared" si="17"/>
        <v>0</v>
      </c>
      <c r="X53" s="249">
        <f t="shared" si="18"/>
        <v>0</v>
      </c>
      <c r="Y53" s="251">
        <f t="shared" si="19"/>
        <v>0.734375</v>
      </c>
    </row>
    <row r="54" spans="1:25" ht="20.100000000000001" customHeight="1">
      <c r="A54" s="7" t="s">
        <v>115</v>
      </c>
      <c r="B54" s="257" t="s">
        <v>165</v>
      </c>
      <c r="C54" s="10"/>
      <c r="D54" s="103"/>
      <c r="E54" s="10">
        <v>68</v>
      </c>
      <c r="F54" s="11">
        <v>0</v>
      </c>
      <c r="G54" s="11">
        <v>0</v>
      </c>
      <c r="H54" s="13">
        <v>47</v>
      </c>
      <c r="I54" s="11">
        <f t="shared" si="10"/>
        <v>47</v>
      </c>
      <c r="J54" s="75">
        <f t="shared" si="11"/>
        <v>47</v>
      </c>
      <c r="K54" s="28">
        <f>PRODUCT($E54,Calculator!$E$8)</f>
        <v>306</v>
      </c>
      <c r="L54" s="13">
        <f>PRODUCT($I54,Calculator!$E$8)</f>
        <v>211.5</v>
      </c>
      <c r="M54" s="75">
        <f>PRODUCT($J54,Calculator!$E$8)</f>
        <v>211.5</v>
      </c>
      <c r="N54" s="12">
        <f>60/($E54*Calculator!$E$8)</f>
        <v>0.19607843137254902</v>
      </c>
      <c r="O54" s="12">
        <f>IF(($E54=$F54),60,60/(($E54-$F54)*Calculator!$E$8))</f>
        <v>0.19607843137254902</v>
      </c>
      <c r="P54" s="77">
        <f>IF(($E54=$G54),60,60/(($E54-$G54)*Calculator!$E$8))</f>
        <v>0.19607843137254902</v>
      </c>
      <c r="Q54" s="12">
        <f>IF(($E54=$H54),60,60/(($E54-$H54)*Calculator!$E$8))</f>
        <v>0.63492063492063489</v>
      </c>
      <c r="R54" s="26">
        <f t="shared" si="12"/>
        <v>0</v>
      </c>
      <c r="S54" s="26">
        <f t="shared" si="13"/>
        <v>0</v>
      </c>
      <c r="T54" s="26">
        <f t="shared" si="14"/>
        <v>2.2380952380952381</v>
      </c>
      <c r="U54" s="26">
        <f t="shared" si="15"/>
        <v>2.2380952380952381</v>
      </c>
      <c r="V54" s="78">
        <f t="shared" si="16"/>
        <v>2.2380952380952381</v>
      </c>
      <c r="W54" s="248">
        <f t="shared" si="17"/>
        <v>0</v>
      </c>
      <c r="X54" s="249">
        <f t="shared" si="18"/>
        <v>0</v>
      </c>
      <c r="Y54" s="251">
        <f t="shared" si="19"/>
        <v>0.69117647058823528</v>
      </c>
    </row>
    <row r="55" spans="1:25" ht="20.100000000000001" customHeight="1">
      <c r="A55" s="7" t="s">
        <v>116</v>
      </c>
      <c r="B55" s="257" t="s">
        <v>165</v>
      </c>
      <c r="C55" s="10"/>
      <c r="D55" s="103"/>
      <c r="E55" s="10">
        <v>66</v>
      </c>
      <c r="F55" s="11">
        <v>0</v>
      </c>
      <c r="G55" s="11">
        <v>0</v>
      </c>
      <c r="H55" s="13">
        <v>46</v>
      </c>
      <c r="I55" s="11">
        <f t="shared" si="10"/>
        <v>46</v>
      </c>
      <c r="J55" s="75">
        <f t="shared" si="11"/>
        <v>46</v>
      </c>
      <c r="K55" s="28">
        <f>PRODUCT($E55,Calculator!$E$8)</f>
        <v>297</v>
      </c>
      <c r="L55" s="13">
        <f>PRODUCT($I55,Calculator!$E$8)</f>
        <v>207</v>
      </c>
      <c r="M55" s="75">
        <f>PRODUCT($J55,Calculator!$E$8)</f>
        <v>207</v>
      </c>
      <c r="N55" s="12">
        <f>60/($E55*Calculator!$E$8)</f>
        <v>0.20202020202020202</v>
      </c>
      <c r="O55" s="12">
        <f>IF(($E55=$F55),60,60/(($E55-$F55)*Calculator!$E$8))</f>
        <v>0.20202020202020202</v>
      </c>
      <c r="P55" s="77">
        <f>IF(($E55=$G55),60,60/(($E55-$G55)*Calculator!$E$8))</f>
        <v>0.20202020202020202</v>
      </c>
      <c r="Q55" s="12">
        <f>IF(($E55=$H55),60,60/(($E55-$H55)*Calculator!$E$8))</f>
        <v>0.66666666666666663</v>
      </c>
      <c r="R55" s="26">
        <f t="shared" si="12"/>
        <v>0</v>
      </c>
      <c r="S55" s="26">
        <f t="shared" si="13"/>
        <v>0</v>
      </c>
      <c r="T55" s="26">
        <f t="shared" si="14"/>
        <v>2.2999999999999998</v>
      </c>
      <c r="U55" s="26">
        <f t="shared" si="15"/>
        <v>2.2999999999999998</v>
      </c>
      <c r="V55" s="78">
        <f t="shared" si="16"/>
        <v>2.2999999999999998</v>
      </c>
      <c r="W55" s="248">
        <f t="shared" si="17"/>
        <v>0</v>
      </c>
      <c r="X55" s="249">
        <f t="shared" si="18"/>
        <v>0</v>
      </c>
      <c r="Y55" s="251">
        <f t="shared" si="19"/>
        <v>0.69696969696969702</v>
      </c>
    </row>
    <row r="56" spans="1:25" ht="20.100000000000001" customHeight="1">
      <c r="A56" s="7" t="s">
        <v>19</v>
      </c>
      <c r="B56" s="257" t="s">
        <v>167</v>
      </c>
      <c r="C56" s="10"/>
      <c r="D56" s="10"/>
      <c r="E56" s="10">
        <v>11</v>
      </c>
      <c r="F56" s="11">
        <v>0</v>
      </c>
      <c r="G56" s="11">
        <v>0</v>
      </c>
      <c r="H56" s="13">
        <v>11</v>
      </c>
      <c r="I56" s="10">
        <f t="shared" si="10"/>
        <v>11</v>
      </c>
      <c r="J56" s="75">
        <f t="shared" si="11"/>
        <v>11</v>
      </c>
      <c r="K56" s="10">
        <f>PRODUCT($E56,Calculator!$E$8)</f>
        <v>49.5</v>
      </c>
      <c r="L56" s="13">
        <f>PRODUCT($I56,Calculator!$E$8)</f>
        <v>49.5</v>
      </c>
      <c r="M56" s="75">
        <f>PRODUCT($J56,Calculator!$E$8)</f>
        <v>49.5</v>
      </c>
      <c r="N56" s="14">
        <f>60/($E56*Calculator!$E$8)</f>
        <v>1.2121212121212122</v>
      </c>
      <c r="O56" s="12">
        <f>IF(($E56=$F56),60,60/(($E56-$F56)*Calculator!$E$8))</f>
        <v>1.2121212121212122</v>
      </c>
      <c r="P56" s="77">
        <f>IF(($E56=$G56),60,60/(($E56-$G56)*Calculator!$E$8))</f>
        <v>1.2121212121212122</v>
      </c>
      <c r="Q56" s="25">
        <f>IF(($E56=$H56),60,60/(($E56-$H56)*Calculator!$E$8))</f>
        <v>60</v>
      </c>
      <c r="R56" s="27">
        <f t="shared" si="12"/>
        <v>0</v>
      </c>
      <c r="S56" s="26">
        <f t="shared" si="13"/>
        <v>0</v>
      </c>
      <c r="T56" s="26">
        <f t="shared" si="14"/>
        <v>48.5</v>
      </c>
      <c r="U56" s="27">
        <f t="shared" si="15"/>
        <v>48.5</v>
      </c>
      <c r="V56" s="78">
        <f t="shared" si="16"/>
        <v>48.5</v>
      </c>
      <c r="W56" s="248">
        <f t="shared" si="17"/>
        <v>0</v>
      </c>
      <c r="X56" s="249">
        <f t="shared" si="18"/>
        <v>0</v>
      </c>
      <c r="Y56" s="251">
        <f t="shared" si="19"/>
        <v>1</v>
      </c>
    </row>
    <row r="57" spans="1:25" ht="20.100000000000001" customHeight="1">
      <c r="A57" s="7" t="s">
        <v>191</v>
      </c>
      <c r="B57" s="257" t="s">
        <v>165</v>
      </c>
      <c r="C57" s="9"/>
      <c r="D57" s="9" t="s">
        <v>11</v>
      </c>
      <c r="E57" s="10">
        <v>42</v>
      </c>
      <c r="F57" s="11">
        <v>0</v>
      </c>
      <c r="G57" s="11">
        <v>25</v>
      </c>
      <c r="H57" s="13">
        <v>26</v>
      </c>
      <c r="I57" s="10">
        <f t="shared" si="10"/>
        <v>26</v>
      </c>
      <c r="J57" s="75">
        <f t="shared" si="11"/>
        <v>1</v>
      </c>
      <c r="K57" s="10">
        <f>PRODUCT($E57,Calculator!$E$8)</f>
        <v>189</v>
      </c>
      <c r="L57" s="13">
        <f>PRODUCT($I57,Calculator!$E$8)</f>
        <v>117</v>
      </c>
      <c r="M57" s="75">
        <f>PRODUCT($J57,Calculator!$E$8)</f>
        <v>4.5</v>
      </c>
      <c r="N57" s="14">
        <f>60/($E57*Calculator!$E$8)</f>
        <v>0.31746031746031744</v>
      </c>
      <c r="O57" s="12">
        <f>IF(($E57=$F57),60,60/(($E57-$F57)*Calculator!$E$8))</f>
        <v>0.31746031746031744</v>
      </c>
      <c r="P57" s="77">
        <f>IF(($E57=$G57),60,60/(($E57-$G57)*Calculator!$E$8))</f>
        <v>0.78431372549019607</v>
      </c>
      <c r="Q57" s="25">
        <f>IF(($E57=$H57),60,60/(($E57-$H57)*Calculator!$E$8))</f>
        <v>0.83333333333333337</v>
      </c>
      <c r="R57" s="27">
        <f t="shared" si="12"/>
        <v>0</v>
      </c>
      <c r="S57" s="26">
        <f t="shared" si="13"/>
        <v>1.4705882352941178</v>
      </c>
      <c r="T57" s="26">
        <f t="shared" si="14"/>
        <v>1.6250000000000002</v>
      </c>
      <c r="U57" s="27">
        <f t="shared" si="15"/>
        <v>1.6250000000000002</v>
      </c>
      <c r="V57" s="78">
        <f t="shared" si="16"/>
        <v>6.2500000000000056E-2</v>
      </c>
      <c r="W57" s="248">
        <f t="shared" si="17"/>
        <v>0</v>
      </c>
      <c r="X57" s="249">
        <f t="shared" si="18"/>
        <v>0.59523809523809523</v>
      </c>
      <c r="Y57" s="251">
        <f t="shared" si="19"/>
        <v>0.61904761904761907</v>
      </c>
    </row>
    <row r="58" spans="1:25" ht="20.100000000000001" customHeight="1">
      <c r="A58" s="7" t="s">
        <v>192</v>
      </c>
      <c r="B58" s="257" t="s">
        <v>165</v>
      </c>
      <c r="C58" s="9"/>
      <c r="D58" s="9" t="s">
        <v>11</v>
      </c>
      <c r="E58" s="10">
        <v>44</v>
      </c>
      <c r="F58" s="11">
        <v>0</v>
      </c>
      <c r="G58" s="11">
        <v>32</v>
      </c>
      <c r="H58" s="13">
        <v>40</v>
      </c>
      <c r="I58" s="10">
        <f t="shared" si="10"/>
        <v>40</v>
      </c>
      <c r="J58" s="75">
        <f t="shared" si="11"/>
        <v>8</v>
      </c>
      <c r="K58" s="10">
        <f>PRODUCT($E58,Calculator!$E$8)</f>
        <v>198</v>
      </c>
      <c r="L58" s="13">
        <f>PRODUCT($I58,Calculator!$E$8)</f>
        <v>180</v>
      </c>
      <c r="M58" s="75">
        <f>PRODUCT($J58,Calculator!$E$8)</f>
        <v>36</v>
      </c>
      <c r="N58" s="14">
        <f>60/($E58*Calculator!$E$8)</f>
        <v>0.30303030303030304</v>
      </c>
      <c r="O58" s="12">
        <f>IF(($E58=$F58),60,60/(($E58-$F58)*Calculator!$E$8))</f>
        <v>0.30303030303030304</v>
      </c>
      <c r="P58" s="77">
        <f>IF(($E58=$G58),60,60/(($E58-$G58)*Calculator!$E$8))</f>
        <v>1.1111111111111112</v>
      </c>
      <c r="Q58" s="25">
        <f>IF(($E58=$H58),60,60/(($E58-$H58)*Calculator!$E$8))</f>
        <v>3.3333333333333335</v>
      </c>
      <c r="R58" s="27">
        <f t="shared" si="12"/>
        <v>0</v>
      </c>
      <c r="S58" s="26">
        <f t="shared" si="13"/>
        <v>2.666666666666667</v>
      </c>
      <c r="T58" s="26">
        <f t="shared" si="14"/>
        <v>10</v>
      </c>
      <c r="U58" s="27">
        <f t="shared" si="15"/>
        <v>10</v>
      </c>
      <c r="V58" s="78">
        <f t="shared" si="16"/>
        <v>2</v>
      </c>
      <c r="W58" s="248">
        <f t="shared" si="17"/>
        <v>0</v>
      </c>
      <c r="X58" s="249">
        <f t="shared" si="18"/>
        <v>0.72727272727272729</v>
      </c>
      <c r="Y58" s="251">
        <f t="shared" si="19"/>
        <v>0.90909090909090906</v>
      </c>
    </row>
    <row r="59" spans="1:25" ht="20.100000000000001" customHeight="1">
      <c r="A59" s="7" t="s">
        <v>193</v>
      </c>
      <c r="B59" s="257" t="s">
        <v>167</v>
      </c>
      <c r="C59" s="10"/>
      <c r="D59" s="9" t="s">
        <v>11</v>
      </c>
      <c r="E59" s="10">
        <v>43</v>
      </c>
      <c r="F59" s="11">
        <v>0</v>
      </c>
      <c r="G59" s="11">
        <v>19</v>
      </c>
      <c r="H59" s="13">
        <v>25</v>
      </c>
      <c r="I59" s="10">
        <f t="shared" si="10"/>
        <v>25</v>
      </c>
      <c r="J59" s="75">
        <f t="shared" si="11"/>
        <v>6</v>
      </c>
      <c r="K59" s="10">
        <f>PRODUCT($E59,Calculator!$E$8)</f>
        <v>193.5</v>
      </c>
      <c r="L59" s="13">
        <f>PRODUCT($I59,Calculator!$E$8)</f>
        <v>112.5</v>
      </c>
      <c r="M59" s="75">
        <f>PRODUCT($J59,Calculator!$E$8)</f>
        <v>27</v>
      </c>
      <c r="N59" s="14">
        <f>60/($E59*Calculator!$E$8)</f>
        <v>0.31007751937984496</v>
      </c>
      <c r="O59" s="12">
        <f>IF(($E59=$F59),60,60/(($E59-$F59)*Calculator!$E$8))</f>
        <v>0.31007751937984496</v>
      </c>
      <c r="P59" s="77">
        <f>IF(($E59=$G59),60,60/(($E59-$G59)*Calculator!$E$8))</f>
        <v>0.55555555555555558</v>
      </c>
      <c r="Q59" s="25">
        <f>IF(($E59=$H59),60,60/(($E59-$H59)*Calculator!$E$8))</f>
        <v>0.7407407407407407</v>
      </c>
      <c r="R59" s="27">
        <f t="shared" si="12"/>
        <v>0</v>
      </c>
      <c r="S59" s="26">
        <f t="shared" si="13"/>
        <v>0.79166666666666674</v>
      </c>
      <c r="T59" s="26">
        <f t="shared" si="14"/>
        <v>1.3888888888888888</v>
      </c>
      <c r="U59" s="27">
        <f t="shared" si="15"/>
        <v>1.3888888888888888</v>
      </c>
      <c r="V59" s="78">
        <f t="shared" si="16"/>
        <v>0.3333333333333332</v>
      </c>
      <c r="W59" s="248">
        <f t="shared" si="17"/>
        <v>0</v>
      </c>
      <c r="X59" s="249">
        <f t="shared" si="18"/>
        <v>0.44186046511627908</v>
      </c>
      <c r="Y59" s="251">
        <f t="shared" si="19"/>
        <v>0.58139534883720934</v>
      </c>
    </row>
    <row r="60" spans="1:25" ht="20.100000000000001" customHeight="1">
      <c r="A60" s="7" t="s">
        <v>194</v>
      </c>
      <c r="B60" s="257" t="s">
        <v>167</v>
      </c>
      <c r="C60" s="10"/>
      <c r="D60" s="9" t="s">
        <v>11</v>
      </c>
      <c r="E60" s="10">
        <v>49</v>
      </c>
      <c r="F60" s="11">
        <v>0</v>
      </c>
      <c r="G60" s="11">
        <v>20</v>
      </c>
      <c r="H60" s="13">
        <v>44</v>
      </c>
      <c r="I60" s="10">
        <f t="shared" si="10"/>
        <v>44</v>
      </c>
      <c r="J60" s="75">
        <f t="shared" si="11"/>
        <v>24</v>
      </c>
      <c r="K60" s="10">
        <f>PRODUCT($E60,Calculator!$E$8)</f>
        <v>220.5</v>
      </c>
      <c r="L60" s="13">
        <f>PRODUCT($I60,Calculator!$E$8)</f>
        <v>198</v>
      </c>
      <c r="M60" s="75">
        <f>PRODUCT($J60,Calculator!$E$8)</f>
        <v>108</v>
      </c>
      <c r="N60" s="14">
        <f>60/($E60*Calculator!$E$8)</f>
        <v>0.27210884353741499</v>
      </c>
      <c r="O60" s="12">
        <f>IF(($E60=$F60),60,60/(($E60-$F60)*Calculator!$E$8))</f>
        <v>0.27210884353741499</v>
      </c>
      <c r="P60" s="77">
        <f>IF(($E60=$G60),60,60/(($E60-$G60)*Calculator!$E$8))</f>
        <v>0.45977011494252873</v>
      </c>
      <c r="Q60" s="25">
        <f>IF(($E60=$H60),60,60/(($E60-$H60)*Calculator!$E$8))</f>
        <v>2.6666666666666665</v>
      </c>
      <c r="R60" s="27">
        <f t="shared" si="12"/>
        <v>0</v>
      </c>
      <c r="S60" s="26">
        <f t="shared" si="13"/>
        <v>0.68965517241379293</v>
      </c>
      <c r="T60" s="26">
        <f t="shared" si="14"/>
        <v>8.7999999999999989</v>
      </c>
      <c r="U60" s="27">
        <f t="shared" si="15"/>
        <v>8.7999999999999989</v>
      </c>
      <c r="V60" s="78">
        <f t="shared" si="16"/>
        <v>4.8</v>
      </c>
      <c r="W60" s="248">
        <f t="shared" si="17"/>
        <v>0</v>
      </c>
      <c r="X60" s="249">
        <f t="shared" si="18"/>
        <v>0.40816326530612246</v>
      </c>
      <c r="Y60" s="251">
        <f t="shared" si="19"/>
        <v>0.89795918367346939</v>
      </c>
    </row>
    <row r="61" spans="1:25" ht="20.100000000000001" customHeight="1">
      <c r="A61" s="7" t="s">
        <v>20</v>
      </c>
      <c r="B61" s="257" t="s">
        <v>167</v>
      </c>
      <c r="C61" s="9"/>
      <c r="D61" s="9"/>
      <c r="E61" s="10">
        <v>24</v>
      </c>
      <c r="F61" s="11">
        <v>0</v>
      </c>
      <c r="G61" s="11">
        <v>0</v>
      </c>
      <c r="H61" s="13">
        <v>24</v>
      </c>
      <c r="I61" s="10">
        <f t="shared" si="10"/>
        <v>24</v>
      </c>
      <c r="J61" s="75">
        <f t="shared" si="11"/>
        <v>24</v>
      </c>
      <c r="K61" s="10">
        <f>PRODUCT($E61,Calculator!$E$8)</f>
        <v>108</v>
      </c>
      <c r="L61" s="13">
        <f>PRODUCT($I61,Calculator!$E$8)</f>
        <v>108</v>
      </c>
      <c r="M61" s="75">
        <f>PRODUCT($J61,Calculator!$E$8)</f>
        <v>108</v>
      </c>
      <c r="N61" s="14">
        <f>60/($E61*Calculator!$E$8)</f>
        <v>0.55555555555555558</v>
      </c>
      <c r="O61" s="12">
        <f>IF(($E61=$F61),60,60/(($E61-$F61)*Calculator!$E$8))</f>
        <v>0.55555555555555558</v>
      </c>
      <c r="P61" s="77">
        <f>IF(($E61=$G61),60,60/(($E61-$G61)*Calculator!$E$8))</f>
        <v>0.55555555555555558</v>
      </c>
      <c r="Q61" s="25">
        <f>IF(($E61=$H61),60,60/(($E61-$H61)*Calculator!$E$8))</f>
        <v>60</v>
      </c>
      <c r="R61" s="27">
        <f t="shared" si="12"/>
        <v>0</v>
      </c>
      <c r="S61" s="26">
        <f t="shared" si="13"/>
        <v>0</v>
      </c>
      <c r="T61" s="26">
        <f t="shared" si="14"/>
        <v>106.99999999999999</v>
      </c>
      <c r="U61" s="27">
        <f t="shared" si="15"/>
        <v>106.99999999999999</v>
      </c>
      <c r="V61" s="78">
        <f t="shared" si="16"/>
        <v>106.99999999999999</v>
      </c>
      <c r="W61" s="248">
        <f t="shared" si="17"/>
        <v>0</v>
      </c>
      <c r="X61" s="249">
        <f t="shared" si="18"/>
        <v>0</v>
      </c>
      <c r="Y61" s="251">
        <f t="shared" si="19"/>
        <v>1</v>
      </c>
    </row>
    <row r="62" spans="1:25" ht="20.100000000000001" customHeight="1">
      <c r="A62" s="7" t="s">
        <v>195</v>
      </c>
      <c r="B62" s="257" t="s">
        <v>165</v>
      </c>
      <c r="C62" s="9" t="s">
        <v>11</v>
      </c>
      <c r="D62" s="9" t="s">
        <v>11</v>
      </c>
      <c r="E62" s="10">
        <v>137</v>
      </c>
      <c r="F62" s="11">
        <v>133</v>
      </c>
      <c r="G62" s="11">
        <v>136</v>
      </c>
      <c r="H62" s="13">
        <v>137</v>
      </c>
      <c r="I62" s="10">
        <f t="shared" si="10"/>
        <v>4</v>
      </c>
      <c r="J62" s="75">
        <f t="shared" si="11"/>
        <v>1</v>
      </c>
      <c r="K62" s="10">
        <f>PRODUCT($E62,Calculator!$E$8)</f>
        <v>616.5</v>
      </c>
      <c r="L62" s="13">
        <f>PRODUCT($I62,Calculator!$E$8)</f>
        <v>18</v>
      </c>
      <c r="M62" s="75">
        <f>PRODUCT($J62,Calculator!$E$8)</f>
        <v>4.5</v>
      </c>
      <c r="N62" s="14">
        <f>60/($E62*Calculator!$E$8)</f>
        <v>9.7323600973236016E-2</v>
      </c>
      <c r="O62" s="12">
        <f>IF(($E62=$F62),60,60/(($E62-$F62)*Calculator!$E$8))</f>
        <v>3.3333333333333335</v>
      </c>
      <c r="P62" s="77">
        <f>IF(($E62=$G62),60,60/(($E62-$G62)*Calculator!$E$8))</f>
        <v>13.333333333333334</v>
      </c>
      <c r="Q62" s="25">
        <f>IF(($E62=$H62),60,60/(($E62-$H62)*Calculator!$E$8))</f>
        <v>60</v>
      </c>
      <c r="R62" s="27">
        <f t="shared" si="12"/>
        <v>33.25</v>
      </c>
      <c r="S62" s="26">
        <f t="shared" si="13"/>
        <v>136</v>
      </c>
      <c r="T62" s="26">
        <f t="shared" si="14"/>
        <v>615.5</v>
      </c>
      <c r="U62" s="27">
        <f t="shared" si="15"/>
        <v>17</v>
      </c>
      <c r="V62" s="78">
        <f t="shared" si="16"/>
        <v>3.4999999999999996</v>
      </c>
      <c r="W62" s="248">
        <f t="shared" si="17"/>
        <v>0.97080291970802923</v>
      </c>
      <c r="X62" s="249">
        <f t="shared" si="18"/>
        <v>0.99270072992700731</v>
      </c>
      <c r="Y62" s="251">
        <f t="shared" si="19"/>
        <v>1</v>
      </c>
    </row>
    <row r="63" spans="1:25" ht="20.100000000000001" customHeight="1">
      <c r="A63" s="7" t="s">
        <v>21</v>
      </c>
      <c r="B63" s="257" t="s">
        <v>167</v>
      </c>
      <c r="C63" s="9"/>
      <c r="D63" s="9"/>
      <c r="E63" s="10">
        <v>4</v>
      </c>
      <c r="F63" s="11">
        <v>0</v>
      </c>
      <c r="G63" s="11">
        <v>0</v>
      </c>
      <c r="H63" s="13">
        <v>4</v>
      </c>
      <c r="I63" s="10">
        <f t="shared" si="10"/>
        <v>4</v>
      </c>
      <c r="J63" s="75">
        <f t="shared" si="11"/>
        <v>4</v>
      </c>
      <c r="K63" s="10">
        <f>PRODUCT($E63,Calculator!$E$8)</f>
        <v>18</v>
      </c>
      <c r="L63" s="13">
        <f>PRODUCT($I63,Calculator!$E$8)</f>
        <v>18</v>
      </c>
      <c r="M63" s="75">
        <f>PRODUCT($J63,Calculator!$E$8)</f>
        <v>18</v>
      </c>
      <c r="N63" s="14">
        <f>60/($E63*Calculator!$E$8)</f>
        <v>3.3333333333333335</v>
      </c>
      <c r="O63" s="12">
        <f>IF(($E63=$F63),60,60/(($E63-$F63)*Calculator!$E$8))</f>
        <v>3.3333333333333335</v>
      </c>
      <c r="P63" s="77">
        <f>IF(($E63=$G63),60,60/(($E63-$G63)*Calculator!$E$8))</f>
        <v>3.3333333333333335</v>
      </c>
      <c r="Q63" s="25">
        <f>IF(($E63=$H63),60,60/(($E63-$H63)*Calculator!$E$8))</f>
        <v>60</v>
      </c>
      <c r="R63" s="27">
        <f t="shared" si="12"/>
        <v>0</v>
      </c>
      <c r="S63" s="26">
        <f t="shared" si="13"/>
        <v>0</v>
      </c>
      <c r="T63" s="26">
        <f t="shared" si="14"/>
        <v>17</v>
      </c>
      <c r="U63" s="27">
        <f t="shared" si="15"/>
        <v>17</v>
      </c>
      <c r="V63" s="78">
        <f t="shared" si="16"/>
        <v>17</v>
      </c>
      <c r="W63" s="248">
        <f t="shared" si="17"/>
        <v>0</v>
      </c>
      <c r="X63" s="249">
        <f t="shared" si="18"/>
        <v>0</v>
      </c>
      <c r="Y63" s="251">
        <f t="shared" si="19"/>
        <v>1</v>
      </c>
    </row>
    <row r="64" spans="1:25" ht="20.100000000000001" customHeight="1">
      <c r="A64" s="7" t="s">
        <v>196</v>
      </c>
      <c r="B64" s="257" t="s">
        <v>165</v>
      </c>
      <c r="C64" s="9" t="s">
        <v>11</v>
      </c>
      <c r="D64" s="9" t="s">
        <v>11</v>
      </c>
      <c r="E64" s="10">
        <v>143</v>
      </c>
      <c r="F64" s="11">
        <v>137</v>
      </c>
      <c r="G64" s="11">
        <v>137</v>
      </c>
      <c r="H64" s="13">
        <v>143</v>
      </c>
      <c r="I64" s="10">
        <f t="shared" si="10"/>
        <v>6</v>
      </c>
      <c r="J64" s="75">
        <f t="shared" si="11"/>
        <v>6</v>
      </c>
      <c r="K64" s="10">
        <f>PRODUCT($E64,Calculator!$E$8)</f>
        <v>643.5</v>
      </c>
      <c r="L64" s="13">
        <f>PRODUCT($I64,Calculator!$E$8)</f>
        <v>27</v>
      </c>
      <c r="M64" s="75">
        <f>PRODUCT($J64,Calculator!$E$8)</f>
        <v>27</v>
      </c>
      <c r="N64" s="14">
        <f>60/($E64*Calculator!$E$8)</f>
        <v>9.3240093240093247E-2</v>
      </c>
      <c r="O64" s="12">
        <f>IF(($E64=$F64),60,60/(($E64-$F64)*Calculator!$E$8))</f>
        <v>2.2222222222222223</v>
      </c>
      <c r="P64" s="77">
        <f>IF(($E64=$G64),60,60/(($E64-$G64)*Calculator!$E$8))</f>
        <v>2.2222222222222223</v>
      </c>
      <c r="Q64" s="25">
        <f>IF(($E64=$H64),60,60/(($E64-$H64)*Calculator!$E$8))</f>
        <v>60</v>
      </c>
      <c r="R64" s="27">
        <f t="shared" si="12"/>
        <v>22.833333333333332</v>
      </c>
      <c r="S64" s="26">
        <f t="shared" si="13"/>
        <v>22.833333333333332</v>
      </c>
      <c r="T64" s="26">
        <f t="shared" si="14"/>
        <v>642.5</v>
      </c>
      <c r="U64" s="27">
        <f t="shared" si="15"/>
        <v>26</v>
      </c>
      <c r="V64" s="78">
        <f t="shared" si="16"/>
        <v>26</v>
      </c>
      <c r="W64" s="248">
        <f t="shared" si="17"/>
        <v>0.95804195804195802</v>
      </c>
      <c r="X64" s="249">
        <f t="shared" si="18"/>
        <v>0.95804195804195802</v>
      </c>
      <c r="Y64" s="251">
        <f t="shared" si="19"/>
        <v>1</v>
      </c>
    </row>
    <row r="65" spans="1:25" ht="20.100000000000001" customHeight="1">
      <c r="A65" s="7" t="s">
        <v>22</v>
      </c>
      <c r="B65" s="257" t="s">
        <v>167</v>
      </c>
      <c r="C65" s="9"/>
      <c r="D65" s="9"/>
      <c r="E65" s="10">
        <v>47</v>
      </c>
      <c r="F65" s="11">
        <v>0</v>
      </c>
      <c r="G65" s="11">
        <v>0</v>
      </c>
      <c r="H65" s="13">
        <v>47</v>
      </c>
      <c r="I65" s="10">
        <f t="shared" si="10"/>
        <v>47</v>
      </c>
      <c r="J65" s="75">
        <f t="shared" si="11"/>
        <v>47</v>
      </c>
      <c r="K65" s="10">
        <f>PRODUCT($E65,Calculator!$E$8)</f>
        <v>211.5</v>
      </c>
      <c r="L65" s="13">
        <f>PRODUCT($I65,Calculator!$E$8)</f>
        <v>211.5</v>
      </c>
      <c r="M65" s="75">
        <f>PRODUCT($J65,Calculator!$E$8)</f>
        <v>211.5</v>
      </c>
      <c r="N65" s="14">
        <f>60/($E65*Calculator!$E$8)</f>
        <v>0.28368794326241137</v>
      </c>
      <c r="O65" s="12">
        <f>IF(($E65=$F65),60,60/(($E65-$F65)*Calculator!$E$8))</f>
        <v>0.28368794326241137</v>
      </c>
      <c r="P65" s="77">
        <f>IF(($E65=$G65),60,60/(($E65-$G65)*Calculator!$E$8))</f>
        <v>0.28368794326241137</v>
      </c>
      <c r="Q65" s="25">
        <f>IF(($E65=$H65),60,60/(($E65-$H65)*Calculator!$E$8))</f>
        <v>60</v>
      </c>
      <c r="R65" s="27">
        <f t="shared" si="12"/>
        <v>0</v>
      </c>
      <c r="S65" s="26">
        <f t="shared" si="13"/>
        <v>0</v>
      </c>
      <c r="T65" s="26">
        <f t="shared" si="14"/>
        <v>210.49999999999997</v>
      </c>
      <c r="U65" s="27">
        <f t="shared" si="15"/>
        <v>210.49999999999997</v>
      </c>
      <c r="V65" s="78">
        <f t="shared" si="16"/>
        <v>210.49999999999997</v>
      </c>
      <c r="W65" s="248">
        <f t="shared" si="17"/>
        <v>0</v>
      </c>
      <c r="X65" s="249">
        <f t="shared" si="18"/>
        <v>0</v>
      </c>
      <c r="Y65" s="251">
        <f t="shared" si="19"/>
        <v>1</v>
      </c>
    </row>
    <row r="66" spans="1:25" ht="20.100000000000001" customHeight="1">
      <c r="A66" s="7" t="s">
        <v>23</v>
      </c>
      <c r="B66" s="257" t="s">
        <v>165</v>
      </c>
      <c r="C66" s="10"/>
      <c r="D66" s="10"/>
      <c r="E66" s="10">
        <v>20</v>
      </c>
      <c r="F66" s="11">
        <v>0</v>
      </c>
      <c r="G66" s="11">
        <v>0</v>
      </c>
      <c r="H66" s="13">
        <v>20</v>
      </c>
      <c r="I66" s="10">
        <f t="shared" si="10"/>
        <v>20</v>
      </c>
      <c r="J66" s="75">
        <f t="shared" si="11"/>
        <v>20</v>
      </c>
      <c r="K66" s="10">
        <f>PRODUCT($E66,Calculator!$E$8)</f>
        <v>90</v>
      </c>
      <c r="L66" s="13">
        <f>PRODUCT($I66,Calculator!$E$8)</f>
        <v>90</v>
      </c>
      <c r="M66" s="75">
        <f>PRODUCT($J66,Calculator!$E$8)</f>
        <v>90</v>
      </c>
      <c r="N66" s="14">
        <f>60/($E66*Calculator!$E$8)</f>
        <v>0.66666666666666663</v>
      </c>
      <c r="O66" s="12">
        <f>IF(($E66=$F66),60,60/(($E66-$F66)*Calculator!$E$8))</f>
        <v>0.66666666666666663</v>
      </c>
      <c r="P66" s="77">
        <f>IF(($E66=$G66),60,60/(($E66-$G66)*Calculator!$E$8))</f>
        <v>0.66666666666666663</v>
      </c>
      <c r="Q66" s="25">
        <f>IF(($E66=$H66),60,60/(($E66-$H66)*Calculator!$E$8))</f>
        <v>60</v>
      </c>
      <c r="R66" s="27">
        <f t="shared" si="12"/>
        <v>0</v>
      </c>
      <c r="S66" s="26">
        <f t="shared" si="13"/>
        <v>0</v>
      </c>
      <c r="T66" s="26">
        <f t="shared" si="14"/>
        <v>89.000000000000014</v>
      </c>
      <c r="U66" s="27">
        <f t="shared" si="15"/>
        <v>89.000000000000014</v>
      </c>
      <c r="V66" s="78">
        <f t="shared" si="16"/>
        <v>89.000000000000014</v>
      </c>
      <c r="W66" s="248">
        <f t="shared" si="17"/>
        <v>0</v>
      </c>
      <c r="X66" s="249">
        <f t="shared" si="18"/>
        <v>0</v>
      </c>
      <c r="Y66" s="251">
        <f t="shared" si="19"/>
        <v>1</v>
      </c>
    </row>
    <row r="67" spans="1:25" ht="20.100000000000001" customHeight="1">
      <c r="A67" s="7" t="s">
        <v>24</v>
      </c>
      <c r="B67" s="257" t="s">
        <v>166</v>
      </c>
      <c r="C67" s="10"/>
      <c r="D67" s="9" t="s">
        <v>11</v>
      </c>
      <c r="E67" s="10">
        <v>12</v>
      </c>
      <c r="F67" s="11">
        <v>0</v>
      </c>
      <c r="G67" s="11">
        <v>12</v>
      </c>
      <c r="H67" s="13">
        <v>12</v>
      </c>
      <c r="I67" s="10">
        <f t="shared" si="10"/>
        <v>12</v>
      </c>
      <c r="J67" s="75">
        <f t="shared" si="11"/>
        <v>0</v>
      </c>
      <c r="K67" s="10">
        <f>PRODUCT($E67,Calculator!$E$8)</f>
        <v>54</v>
      </c>
      <c r="L67" s="13">
        <f>PRODUCT($I67,Calculator!$E$8)</f>
        <v>54</v>
      </c>
      <c r="M67" s="75">
        <f>PRODUCT($J67,Calculator!$E$8)</f>
        <v>0</v>
      </c>
      <c r="N67" s="14">
        <f>60/($E67*Calculator!$E$8)</f>
        <v>1.1111111111111112</v>
      </c>
      <c r="O67" s="12">
        <f>IF(($E67=$F67),60,60/(($E67-$F67)*Calculator!$E$8))</f>
        <v>1.1111111111111112</v>
      </c>
      <c r="P67" s="77">
        <f>IF(($E67=$G67),60,60/(($E67-$G67)*Calculator!$E$8))</f>
        <v>60</v>
      </c>
      <c r="Q67" s="25">
        <f>IF(($E67=$H67),60,60/(($E67-$H67)*Calculator!$E$8))</f>
        <v>60</v>
      </c>
      <c r="R67" s="27">
        <f t="shared" si="12"/>
        <v>0</v>
      </c>
      <c r="S67" s="26">
        <f t="shared" si="13"/>
        <v>52.999999999999993</v>
      </c>
      <c r="T67" s="26">
        <f t="shared" si="14"/>
        <v>52.999999999999993</v>
      </c>
      <c r="U67" s="27">
        <f t="shared" si="15"/>
        <v>52.999999999999993</v>
      </c>
      <c r="V67" s="78">
        <f t="shared" si="16"/>
        <v>0</v>
      </c>
      <c r="W67" s="248">
        <f t="shared" si="17"/>
        <v>0</v>
      </c>
      <c r="X67" s="249">
        <f t="shared" si="18"/>
        <v>1</v>
      </c>
      <c r="Y67" s="251">
        <f t="shared" si="19"/>
        <v>1</v>
      </c>
    </row>
    <row r="68" spans="1:25" ht="20.100000000000001" customHeight="1">
      <c r="A68" s="7" t="s">
        <v>25</v>
      </c>
      <c r="B68" s="257" t="s">
        <v>167</v>
      </c>
      <c r="C68" s="10"/>
      <c r="D68" s="10"/>
      <c r="E68" s="10">
        <v>11</v>
      </c>
      <c r="F68" s="11">
        <v>0</v>
      </c>
      <c r="G68" s="11">
        <v>0</v>
      </c>
      <c r="H68" s="13">
        <v>11</v>
      </c>
      <c r="I68" s="10">
        <f t="shared" si="10"/>
        <v>11</v>
      </c>
      <c r="J68" s="75">
        <f t="shared" si="11"/>
        <v>11</v>
      </c>
      <c r="K68" s="10">
        <f>PRODUCT($E68,Calculator!$E$8)</f>
        <v>49.5</v>
      </c>
      <c r="L68" s="13">
        <f>PRODUCT($I68,Calculator!$E$8)</f>
        <v>49.5</v>
      </c>
      <c r="M68" s="75">
        <f>PRODUCT($J68,Calculator!$E$8)</f>
        <v>49.5</v>
      </c>
      <c r="N68" s="14">
        <f>60/($E68*Calculator!$E$8)</f>
        <v>1.2121212121212122</v>
      </c>
      <c r="O68" s="14">
        <f>IF(($E68=$F68),60,60/(($E68-$F68)*Calculator!$E$8))</f>
        <v>1.2121212121212122</v>
      </c>
      <c r="P68" s="77">
        <f>IF(($E68=$G68),60,60/(($E68-$G68)*Calculator!$E$8))</f>
        <v>1.2121212121212122</v>
      </c>
      <c r="Q68" s="25">
        <f>IF(($E68=$H68),60,60/(($E68-$H68)*Calculator!$E$8))</f>
        <v>60</v>
      </c>
      <c r="R68" s="27">
        <f t="shared" si="12"/>
        <v>0</v>
      </c>
      <c r="S68" s="26">
        <f t="shared" si="13"/>
        <v>0</v>
      </c>
      <c r="T68" s="26">
        <f t="shared" si="14"/>
        <v>48.5</v>
      </c>
      <c r="U68" s="27">
        <f t="shared" si="15"/>
        <v>48.5</v>
      </c>
      <c r="V68" s="78">
        <f t="shared" si="16"/>
        <v>48.5</v>
      </c>
      <c r="W68" s="248">
        <f t="shared" si="17"/>
        <v>0</v>
      </c>
      <c r="X68" s="249">
        <f t="shared" si="18"/>
        <v>0</v>
      </c>
      <c r="Y68" s="251">
        <f t="shared" si="19"/>
        <v>1</v>
      </c>
    </row>
    <row r="69" spans="1:25" ht="20.100000000000001" customHeight="1">
      <c r="A69" s="7" t="s">
        <v>26</v>
      </c>
      <c r="B69" s="257" t="s">
        <v>165</v>
      </c>
      <c r="C69" s="10"/>
      <c r="D69" s="10"/>
      <c r="E69" s="10">
        <v>10</v>
      </c>
      <c r="F69" s="11">
        <v>0</v>
      </c>
      <c r="G69" s="11">
        <v>0</v>
      </c>
      <c r="H69" s="13">
        <v>10</v>
      </c>
      <c r="I69" s="10">
        <f t="shared" si="10"/>
        <v>10</v>
      </c>
      <c r="J69" s="75">
        <f t="shared" si="11"/>
        <v>10</v>
      </c>
      <c r="K69" s="10">
        <f>PRODUCT($E69,Calculator!$E$8)</f>
        <v>45</v>
      </c>
      <c r="L69" s="13">
        <f>PRODUCT($I69,Calculator!$E$8)</f>
        <v>45</v>
      </c>
      <c r="M69" s="75">
        <f>PRODUCT($J69,Calculator!$E$8)</f>
        <v>45</v>
      </c>
      <c r="N69" s="14">
        <f>60/($E69*Calculator!$E$8)</f>
        <v>1.3333333333333333</v>
      </c>
      <c r="O69" s="14">
        <f>IF(($E69=$F69),60,60/(($E69-$F69)*Calculator!$E$8))</f>
        <v>1.3333333333333333</v>
      </c>
      <c r="P69" s="77">
        <f>IF(($E69=$G69),60,60/(($E69-$G69)*Calculator!$E$8))</f>
        <v>1.3333333333333333</v>
      </c>
      <c r="Q69" s="25">
        <f>IF(($E69=$H69),60,60/(($E69-$H69)*Calculator!$E$8))</f>
        <v>60</v>
      </c>
      <c r="R69" s="27">
        <f t="shared" si="12"/>
        <v>0</v>
      </c>
      <c r="S69" s="26">
        <f t="shared" si="13"/>
        <v>0</v>
      </c>
      <c r="T69" s="26">
        <f t="shared" si="14"/>
        <v>44</v>
      </c>
      <c r="U69" s="27">
        <f t="shared" si="15"/>
        <v>44</v>
      </c>
      <c r="V69" s="78">
        <f t="shared" si="16"/>
        <v>44</v>
      </c>
      <c r="W69" s="248">
        <f t="shared" si="17"/>
        <v>0</v>
      </c>
      <c r="X69" s="249">
        <f t="shared" si="18"/>
        <v>0</v>
      </c>
      <c r="Y69" s="251">
        <f t="shared" si="19"/>
        <v>1</v>
      </c>
    </row>
    <row r="70" spans="1:25" ht="20.100000000000001" customHeight="1">
      <c r="A70" s="7" t="s">
        <v>27</v>
      </c>
      <c r="B70" s="257" t="s">
        <v>167</v>
      </c>
      <c r="C70" s="10"/>
      <c r="D70" s="10"/>
      <c r="E70" s="10">
        <v>82</v>
      </c>
      <c r="F70" s="11">
        <v>0</v>
      </c>
      <c r="G70" s="11">
        <v>0</v>
      </c>
      <c r="H70" s="13">
        <v>82</v>
      </c>
      <c r="I70" s="10">
        <f t="shared" si="10"/>
        <v>82</v>
      </c>
      <c r="J70" s="75">
        <f t="shared" si="11"/>
        <v>82</v>
      </c>
      <c r="K70" s="10">
        <f>PRODUCT($E70,Calculator!$E$8)</f>
        <v>369</v>
      </c>
      <c r="L70" s="13">
        <f>PRODUCT($I70,Calculator!$E$8)</f>
        <v>369</v>
      </c>
      <c r="M70" s="75">
        <f>PRODUCT($J70,Calculator!$E$8)</f>
        <v>369</v>
      </c>
      <c r="N70" s="14">
        <f>60/($E70*Calculator!$E$8)</f>
        <v>0.16260162601626016</v>
      </c>
      <c r="O70" s="14">
        <f>IF(($E70=$F70),60,60/(($E70-$F70)*Calculator!$E$8))</f>
        <v>0.16260162601626016</v>
      </c>
      <c r="P70" s="77">
        <f>IF(($E70=$G70),60,60/(($E70-$G70)*Calculator!$E$8))</f>
        <v>0.16260162601626016</v>
      </c>
      <c r="Q70" s="25">
        <f>IF(($E70=$H70),60,60/(($E70-$H70)*Calculator!$E$8))</f>
        <v>60</v>
      </c>
      <c r="R70" s="27">
        <f t="shared" si="12"/>
        <v>0</v>
      </c>
      <c r="S70" s="26">
        <f t="shared" si="13"/>
        <v>0</v>
      </c>
      <c r="T70" s="26">
        <f t="shared" si="14"/>
        <v>368</v>
      </c>
      <c r="U70" s="27">
        <f t="shared" si="15"/>
        <v>368</v>
      </c>
      <c r="V70" s="78">
        <f t="shared" si="16"/>
        <v>368</v>
      </c>
      <c r="W70" s="248">
        <f t="shared" si="17"/>
        <v>0</v>
      </c>
      <c r="X70" s="249">
        <f t="shared" si="18"/>
        <v>0</v>
      </c>
      <c r="Y70" s="251">
        <f t="shared" si="19"/>
        <v>1</v>
      </c>
    </row>
    <row r="71" spans="1:25" ht="20.100000000000001" customHeight="1">
      <c r="A71" s="7" t="s">
        <v>28</v>
      </c>
      <c r="B71" s="257" t="s">
        <v>165</v>
      </c>
      <c r="C71" s="10"/>
      <c r="D71" s="10"/>
      <c r="E71" s="10">
        <v>63</v>
      </c>
      <c r="F71" s="11">
        <v>0</v>
      </c>
      <c r="G71" s="11">
        <v>0</v>
      </c>
      <c r="H71" s="13">
        <v>63</v>
      </c>
      <c r="I71" s="10">
        <f t="shared" si="10"/>
        <v>63</v>
      </c>
      <c r="J71" s="75">
        <f t="shared" si="11"/>
        <v>63</v>
      </c>
      <c r="K71" s="10">
        <f>PRODUCT($E71,Calculator!$E$8)</f>
        <v>283.5</v>
      </c>
      <c r="L71" s="13">
        <f>PRODUCT($I71,Calculator!$E$8)</f>
        <v>283.5</v>
      </c>
      <c r="M71" s="75">
        <f>PRODUCT($J71,Calculator!$E$8)</f>
        <v>283.5</v>
      </c>
      <c r="N71" s="14">
        <f>60/($E71*Calculator!$E$8)</f>
        <v>0.21164021164021163</v>
      </c>
      <c r="O71" s="14">
        <f>IF(($E71=$F71),60,60/(($E71-$F71)*Calculator!$E$8))</f>
        <v>0.21164021164021163</v>
      </c>
      <c r="P71" s="77">
        <f>IF(($E71=$G71),60,60/(($E71-$G71)*Calculator!$E$8))</f>
        <v>0.21164021164021163</v>
      </c>
      <c r="Q71" s="25">
        <f>IF(($E71=$H71),60,60/(($E71-$H71)*Calculator!$E$8))</f>
        <v>60</v>
      </c>
      <c r="R71" s="27">
        <f t="shared" si="12"/>
        <v>0</v>
      </c>
      <c r="S71" s="26">
        <f t="shared" si="13"/>
        <v>0</v>
      </c>
      <c r="T71" s="26">
        <f t="shared" si="14"/>
        <v>282.50000000000006</v>
      </c>
      <c r="U71" s="27">
        <f t="shared" si="15"/>
        <v>282.50000000000006</v>
      </c>
      <c r="V71" s="78">
        <f t="shared" si="16"/>
        <v>282.50000000000006</v>
      </c>
      <c r="W71" s="248">
        <f t="shared" si="17"/>
        <v>0</v>
      </c>
      <c r="X71" s="249">
        <f t="shared" si="18"/>
        <v>0</v>
      </c>
      <c r="Y71" s="251">
        <f t="shared" si="19"/>
        <v>1</v>
      </c>
    </row>
    <row r="72" spans="1:25" ht="20.100000000000001" customHeight="1">
      <c r="A72" s="7" t="s">
        <v>29</v>
      </c>
      <c r="B72" s="257" t="s">
        <v>167</v>
      </c>
      <c r="C72" s="10"/>
      <c r="D72" s="10"/>
      <c r="E72" s="10">
        <v>41</v>
      </c>
      <c r="F72" s="11">
        <v>0</v>
      </c>
      <c r="G72" s="11">
        <v>0</v>
      </c>
      <c r="H72" s="13">
        <v>41</v>
      </c>
      <c r="I72" s="10">
        <f t="shared" si="10"/>
        <v>41</v>
      </c>
      <c r="J72" s="75">
        <f t="shared" si="11"/>
        <v>41</v>
      </c>
      <c r="K72" s="10">
        <f>PRODUCT($E72,Calculator!$E$8)</f>
        <v>184.5</v>
      </c>
      <c r="L72" s="13">
        <f>PRODUCT($I72,Calculator!$E$8)</f>
        <v>184.5</v>
      </c>
      <c r="M72" s="75">
        <f>PRODUCT($J72,Calculator!$E$8)</f>
        <v>184.5</v>
      </c>
      <c r="N72" s="14">
        <f>60/($E72*Calculator!$E$8)</f>
        <v>0.32520325203252032</v>
      </c>
      <c r="O72" s="14">
        <f>IF(($E72=$F72),60,60/(($E72-$F72)*Calculator!$E$8))</f>
        <v>0.32520325203252032</v>
      </c>
      <c r="P72" s="77">
        <f>IF(($E72=$G72),60,60/(($E72-$G72)*Calculator!$E$8))</f>
        <v>0.32520325203252032</v>
      </c>
      <c r="Q72" s="14">
        <f>IF(($E72=$H72),60,60/(($E72-$H72)*Calculator!$E$8))</f>
        <v>60</v>
      </c>
      <c r="R72" s="27">
        <f t="shared" si="12"/>
        <v>0</v>
      </c>
      <c r="S72" s="26">
        <f t="shared" si="13"/>
        <v>0</v>
      </c>
      <c r="T72" s="26">
        <f t="shared" si="14"/>
        <v>183.5</v>
      </c>
      <c r="U72" s="27">
        <f t="shared" si="15"/>
        <v>183.5</v>
      </c>
      <c r="V72" s="78">
        <f t="shared" si="16"/>
        <v>183.5</v>
      </c>
      <c r="W72" s="248">
        <f t="shared" si="17"/>
        <v>0</v>
      </c>
      <c r="X72" s="249">
        <f t="shared" si="18"/>
        <v>0</v>
      </c>
      <c r="Y72" s="251">
        <f t="shared" si="19"/>
        <v>1</v>
      </c>
    </row>
    <row r="73" spans="1:25" ht="20.100000000000001" customHeight="1">
      <c r="A73" s="264" t="s">
        <v>30</v>
      </c>
      <c r="B73" s="257" t="s">
        <v>165</v>
      </c>
      <c r="C73" s="10"/>
      <c r="D73" s="10"/>
      <c r="E73" s="10">
        <v>37</v>
      </c>
      <c r="F73" s="11">
        <v>0</v>
      </c>
      <c r="G73" s="11">
        <v>0</v>
      </c>
      <c r="H73" s="13">
        <v>37</v>
      </c>
      <c r="I73" s="10">
        <f t="shared" si="10"/>
        <v>37</v>
      </c>
      <c r="J73" s="75">
        <f t="shared" si="11"/>
        <v>37</v>
      </c>
      <c r="K73" s="10">
        <f>PRODUCT($E73,Calculator!$E$8)</f>
        <v>166.5</v>
      </c>
      <c r="L73" s="13">
        <f>PRODUCT($I73,Calculator!$E$8)</f>
        <v>166.5</v>
      </c>
      <c r="M73" s="75">
        <f>PRODUCT($J73,Calculator!$E$8)</f>
        <v>166.5</v>
      </c>
      <c r="N73" s="14">
        <f>60/($E73*Calculator!$E$8)</f>
        <v>0.36036036036036034</v>
      </c>
      <c r="O73" s="14">
        <f>IF(($E73=$F73),60,60/(($E73-$F73)*Calculator!$E$8))</f>
        <v>0.36036036036036034</v>
      </c>
      <c r="P73" s="77">
        <f>IF(($E73=$G73),60,60/(($E73-$G73)*Calculator!$E$8))</f>
        <v>0.36036036036036034</v>
      </c>
      <c r="Q73" s="14">
        <f>IF(($E73=$H73),60,60/(($E73-$H73)*Calculator!$E$8))</f>
        <v>60</v>
      </c>
      <c r="R73" s="27">
        <f t="shared" si="12"/>
        <v>0</v>
      </c>
      <c r="S73" s="26">
        <f t="shared" si="13"/>
        <v>0</v>
      </c>
      <c r="T73" s="26">
        <f t="shared" si="14"/>
        <v>165.5</v>
      </c>
      <c r="U73" s="27">
        <f t="shared" si="15"/>
        <v>165.5</v>
      </c>
      <c r="V73" s="78">
        <f t="shared" si="16"/>
        <v>165.5</v>
      </c>
      <c r="W73" s="248">
        <f t="shared" si="17"/>
        <v>0</v>
      </c>
      <c r="X73" s="249">
        <f t="shared" si="18"/>
        <v>0</v>
      </c>
      <c r="Y73" s="251">
        <f t="shared" si="19"/>
        <v>1</v>
      </c>
    </row>
    <row r="74" spans="1:25" ht="20.100000000000001" customHeight="1">
      <c r="A74" s="7" t="s">
        <v>31</v>
      </c>
      <c r="B74" s="257" t="s">
        <v>167</v>
      </c>
      <c r="C74" s="10"/>
      <c r="D74" s="10"/>
      <c r="E74" s="10">
        <v>15</v>
      </c>
      <c r="F74" s="11">
        <v>0</v>
      </c>
      <c r="G74" s="11">
        <v>0</v>
      </c>
      <c r="H74" s="13">
        <v>15</v>
      </c>
      <c r="I74" s="10">
        <f t="shared" si="10"/>
        <v>15</v>
      </c>
      <c r="J74" s="75">
        <f t="shared" si="11"/>
        <v>15</v>
      </c>
      <c r="K74" s="10">
        <f>PRODUCT($E74,Calculator!$E$8)</f>
        <v>67.5</v>
      </c>
      <c r="L74" s="13">
        <f>PRODUCT($I74,Calculator!$E$8)</f>
        <v>67.5</v>
      </c>
      <c r="M74" s="75">
        <f>PRODUCT($J74,Calculator!$E$8)</f>
        <v>67.5</v>
      </c>
      <c r="N74" s="14">
        <f>60/($E74*Calculator!$E$8)</f>
        <v>0.88888888888888884</v>
      </c>
      <c r="O74" s="14">
        <f>IF(($E74=$F74),60,60/(($E74-$F74)*Calculator!$E$8))</f>
        <v>0.88888888888888884</v>
      </c>
      <c r="P74" s="77">
        <f>IF(($E74=$G74),60,60/(($E74-$G74)*Calculator!$E$8))</f>
        <v>0.88888888888888884</v>
      </c>
      <c r="Q74" s="25">
        <f>IF(($E74=$H74),60,60/(($E74-$H74)*Calculator!$E$8))</f>
        <v>60</v>
      </c>
      <c r="R74" s="27">
        <f t="shared" si="12"/>
        <v>0</v>
      </c>
      <c r="S74" s="26">
        <f t="shared" si="13"/>
        <v>0</v>
      </c>
      <c r="T74" s="26">
        <f t="shared" si="14"/>
        <v>66.500000000000014</v>
      </c>
      <c r="U74" s="27">
        <f t="shared" si="15"/>
        <v>66.500000000000014</v>
      </c>
      <c r="V74" s="78">
        <f t="shared" si="16"/>
        <v>66.500000000000014</v>
      </c>
      <c r="W74" s="248">
        <f t="shared" si="17"/>
        <v>0</v>
      </c>
      <c r="X74" s="249">
        <f t="shared" si="18"/>
        <v>0</v>
      </c>
      <c r="Y74" s="251">
        <f t="shared" si="19"/>
        <v>1</v>
      </c>
    </row>
    <row r="75" spans="1:25" ht="20.100000000000001" customHeight="1">
      <c r="A75" s="7" t="s">
        <v>32</v>
      </c>
      <c r="B75" s="257" t="s">
        <v>165</v>
      </c>
      <c r="C75" s="10"/>
      <c r="D75" s="10"/>
      <c r="E75" s="10">
        <v>14</v>
      </c>
      <c r="F75" s="11">
        <v>0</v>
      </c>
      <c r="G75" s="11">
        <v>0</v>
      </c>
      <c r="H75" s="13">
        <v>14</v>
      </c>
      <c r="I75" s="10">
        <f t="shared" si="10"/>
        <v>14</v>
      </c>
      <c r="J75" s="75">
        <f t="shared" si="11"/>
        <v>14</v>
      </c>
      <c r="K75" s="10">
        <f>PRODUCT($E75,Calculator!$E$8)</f>
        <v>63</v>
      </c>
      <c r="L75" s="13">
        <f>PRODUCT($I75,Calculator!$E$8)</f>
        <v>63</v>
      </c>
      <c r="M75" s="75">
        <f>PRODUCT($J75,Calculator!$E$8)</f>
        <v>63</v>
      </c>
      <c r="N75" s="14">
        <f>60/($E75*Calculator!$E$8)</f>
        <v>0.95238095238095233</v>
      </c>
      <c r="O75" s="14">
        <f>IF(($E75=$F75),60,60/(($E75-$F75)*Calculator!$E$8))</f>
        <v>0.95238095238095233</v>
      </c>
      <c r="P75" s="77">
        <f>IF(($E75=$G75),60,60/(($E75-$G75)*Calculator!$E$8))</f>
        <v>0.95238095238095233</v>
      </c>
      <c r="Q75" s="25">
        <f>IF(($E75=$H75),60,60/(($E75-$H75)*Calculator!$E$8))</f>
        <v>60</v>
      </c>
      <c r="R75" s="27">
        <f t="shared" si="12"/>
        <v>0</v>
      </c>
      <c r="S75" s="26">
        <f t="shared" si="13"/>
        <v>0</v>
      </c>
      <c r="T75" s="26">
        <f t="shared" si="14"/>
        <v>62.000000000000007</v>
      </c>
      <c r="U75" s="27">
        <f t="shared" si="15"/>
        <v>62.000000000000007</v>
      </c>
      <c r="V75" s="78">
        <f t="shared" si="16"/>
        <v>62.000000000000007</v>
      </c>
      <c r="W75" s="248">
        <f t="shared" si="17"/>
        <v>0</v>
      </c>
      <c r="X75" s="249">
        <f t="shared" si="18"/>
        <v>0</v>
      </c>
      <c r="Y75" s="251">
        <f t="shared" si="19"/>
        <v>1</v>
      </c>
    </row>
    <row r="76" spans="1:25" ht="20.100000000000001" customHeight="1">
      <c r="A76" s="7" t="s">
        <v>33</v>
      </c>
      <c r="B76" s="257" t="s">
        <v>167</v>
      </c>
      <c r="C76" s="10"/>
      <c r="D76" s="10"/>
      <c r="E76" s="10">
        <v>16</v>
      </c>
      <c r="F76" s="11">
        <v>0</v>
      </c>
      <c r="G76" s="11">
        <v>0</v>
      </c>
      <c r="H76" s="13">
        <v>16</v>
      </c>
      <c r="I76" s="10">
        <f t="shared" si="10"/>
        <v>16</v>
      </c>
      <c r="J76" s="75">
        <f t="shared" si="11"/>
        <v>16</v>
      </c>
      <c r="K76" s="10">
        <f>PRODUCT($E76,Calculator!$E$8)</f>
        <v>72</v>
      </c>
      <c r="L76" s="13">
        <f>PRODUCT($I76,Calculator!$E$8)</f>
        <v>72</v>
      </c>
      <c r="M76" s="75">
        <f>PRODUCT($J76,Calculator!$E$8)</f>
        <v>72</v>
      </c>
      <c r="N76" s="14">
        <f>60/($E76*Calculator!$E$8)</f>
        <v>0.83333333333333337</v>
      </c>
      <c r="O76" s="14">
        <f>IF(($E76=$F76),60,60/(($E76-$F76)*Calculator!$E$8))</f>
        <v>0.83333333333333337</v>
      </c>
      <c r="P76" s="77">
        <f>IF(($E76=$G76),60,60/(($E76-$G76)*Calculator!$E$8))</f>
        <v>0.83333333333333337</v>
      </c>
      <c r="Q76" s="25">
        <f>IF(($E76=$H76),60,60/(($E76-$H76)*Calculator!$E$8))</f>
        <v>60</v>
      </c>
      <c r="R76" s="27">
        <f t="shared" si="12"/>
        <v>0</v>
      </c>
      <c r="S76" s="26">
        <f t="shared" si="13"/>
        <v>0</v>
      </c>
      <c r="T76" s="26">
        <f t="shared" si="14"/>
        <v>71</v>
      </c>
      <c r="U76" s="27">
        <f t="shared" si="15"/>
        <v>71</v>
      </c>
      <c r="V76" s="78">
        <f t="shared" si="16"/>
        <v>71</v>
      </c>
      <c r="W76" s="248">
        <f t="shared" si="17"/>
        <v>0</v>
      </c>
      <c r="X76" s="249">
        <f t="shared" si="18"/>
        <v>0</v>
      </c>
      <c r="Y76" s="251">
        <f t="shared" si="19"/>
        <v>1</v>
      </c>
    </row>
    <row r="77" spans="1:25" ht="20.100000000000001" customHeight="1">
      <c r="A77" s="7" t="s">
        <v>34</v>
      </c>
      <c r="B77" s="257" t="s">
        <v>165</v>
      </c>
      <c r="C77" s="10"/>
      <c r="D77" s="10"/>
      <c r="E77" s="10">
        <v>15</v>
      </c>
      <c r="F77" s="11">
        <v>0</v>
      </c>
      <c r="G77" s="11">
        <v>0</v>
      </c>
      <c r="H77" s="13">
        <v>15</v>
      </c>
      <c r="I77" s="10">
        <f t="shared" si="10"/>
        <v>15</v>
      </c>
      <c r="J77" s="75">
        <f t="shared" si="11"/>
        <v>15</v>
      </c>
      <c r="K77" s="10">
        <f>PRODUCT($E77,Calculator!$E$8)</f>
        <v>67.5</v>
      </c>
      <c r="L77" s="13">
        <f>PRODUCT($I77,Calculator!$E$8)</f>
        <v>67.5</v>
      </c>
      <c r="M77" s="75">
        <f>PRODUCT($J77,Calculator!$E$8)</f>
        <v>67.5</v>
      </c>
      <c r="N77" s="14">
        <f>60/($E77*Calculator!$E$8)</f>
        <v>0.88888888888888884</v>
      </c>
      <c r="O77" s="14">
        <f>IF(($E77=$F77),60,60/(($E77-$F77)*Calculator!$E$8))</f>
        <v>0.88888888888888884</v>
      </c>
      <c r="P77" s="77">
        <f>IF(($E77=$G77),60,60/(($E77-$G77)*Calculator!$E$8))</f>
        <v>0.88888888888888884</v>
      </c>
      <c r="Q77" s="25">
        <f>IF(($E77=$H77),60,60/(($E77-$H77)*Calculator!$E$8))</f>
        <v>60</v>
      </c>
      <c r="R77" s="27">
        <f t="shared" si="12"/>
        <v>0</v>
      </c>
      <c r="S77" s="26">
        <f t="shared" si="13"/>
        <v>0</v>
      </c>
      <c r="T77" s="26">
        <f t="shared" si="14"/>
        <v>66.500000000000014</v>
      </c>
      <c r="U77" s="27">
        <f t="shared" si="15"/>
        <v>66.500000000000014</v>
      </c>
      <c r="V77" s="78">
        <f t="shared" si="16"/>
        <v>66.500000000000014</v>
      </c>
      <c r="W77" s="248">
        <f t="shared" si="17"/>
        <v>0</v>
      </c>
      <c r="X77" s="249">
        <f t="shared" si="18"/>
        <v>0</v>
      </c>
      <c r="Y77" s="251">
        <f t="shared" si="19"/>
        <v>1</v>
      </c>
    </row>
    <row r="78" spans="1:25" s="23" customFormat="1" ht="20.100000000000001" customHeight="1">
      <c r="A78" s="7" t="s">
        <v>169</v>
      </c>
      <c r="B78" s="257" t="s">
        <v>167</v>
      </c>
      <c r="C78" s="10"/>
      <c r="D78" s="103"/>
      <c r="E78" s="10">
        <v>37</v>
      </c>
      <c r="F78" s="11">
        <v>0</v>
      </c>
      <c r="G78" s="11">
        <v>0</v>
      </c>
      <c r="H78" s="13">
        <v>17</v>
      </c>
      <c r="I78" s="11">
        <f t="shared" si="10"/>
        <v>17</v>
      </c>
      <c r="J78" s="75">
        <f t="shared" si="11"/>
        <v>17</v>
      </c>
      <c r="K78" s="10">
        <f>PRODUCT($E78,Calculator!$E$8)</f>
        <v>166.5</v>
      </c>
      <c r="L78" s="13">
        <f>PRODUCT($I78,Calculator!$E$8)</f>
        <v>76.5</v>
      </c>
      <c r="M78" s="75">
        <f>PRODUCT($J78,Calculator!$E$8)</f>
        <v>76.5</v>
      </c>
      <c r="N78" s="14">
        <f>60/($E78*Calculator!$E$8)</f>
        <v>0.36036036036036034</v>
      </c>
      <c r="O78" s="14">
        <f>IF(($E78=$F78),60,60/(($E78-$F78)*Calculator!$E$8))</f>
        <v>0.36036036036036034</v>
      </c>
      <c r="P78" s="77">
        <f>IF(($E78=$G78),60,60/(($E78-$G78)*Calculator!$E$8))</f>
        <v>0.36036036036036034</v>
      </c>
      <c r="Q78" s="24">
        <f>IF(($E78=$H78),60,60/(($E78-$H78)*Calculator!$E$8))</f>
        <v>0.66666666666666663</v>
      </c>
      <c r="R78" s="26">
        <f t="shared" si="12"/>
        <v>0</v>
      </c>
      <c r="S78" s="26">
        <f t="shared" si="13"/>
        <v>0</v>
      </c>
      <c r="T78" s="26">
        <f t="shared" si="14"/>
        <v>0.85</v>
      </c>
      <c r="U78" s="26">
        <f t="shared" si="15"/>
        <v>0.85</v>
      </c>
      <c r="V78" s="78">
        <f t="shared" si="16"/>
        <v>0.85</v>
      </c>
      <c r="W78" s="248">
        <f t="shared" si="17"/>
        <v>0</v>
      </c>
      <c r="X78" s="249">
        <f t="shared" si="18"/>
        <v>0</v>
      </c>
      <c r="Y78" s="251">
        <f t="shared" si="19"/>
        <v>0.45945945945945948</v>
      </c>
    </row>
    <row r="79" spans="1:25" ht="20.100000000000001" customHeight="1">
      <c r="A79" s="7" t="s">
        <v>35</v>
      </c>
      <c r="B79" s="257" t="s">
        <v>165</v>
      </c>
      <c r="C79" s="10"/>
      <c r="D79" s="10"/>
      <c r="E79" s="10">
        <v>3</v>
      </c>
      <c r="F79" s="11">
        <v>0</v>
      </c>
      <c r="G79" s="11">
        <v>0</v>
      </c>
      <c r="H79" s="13">
        <v>3</v>
      </c>
      <c r="I79" s="10">
        <f t="shared" si="10"/>
        <v>3</v>
      </c>
      <c r="J79" s="75">
        <f t="shared" si="11"/>
        <v>3</v>
      </c>
      <c r="K79" s="10">
        <f>PRODUCT($E79,Calculator!$E$8)</f>
        <v>13.5</v>
      </c>
      <c r="L79" s="13">
        <f>PRODUCT($I79,Calculator!$E$8)</f>
        <v>13.5</v>
      </c>
      <c r="M79" s="75">
        <f>PRODUCT($J79,Calculator!$E$8)</f>
        <v>13.5</v>
      </c>
      <c r="N79" s="14">
        <f>60/($E79*Calculator!$E$8)</f>
        <v>4.4444444444444446</v>
      </c>
      <c r="O79" s="14">
        <f>IF(($E79=$F79),60,60/(($E79-$F79)*Calculator!$E$8))</f>
        <v>4.4444444444444446</v>
      </c>
      <c r="P79" s="77">
        <f>IF(($E79=$G79),60,60/(($E79-$G79)*Calculator!$E$8))</f>
        <v>4.4444444444444446</v>
      </c>
      <c r="Q79" s="25">
        <f>IF(($E79=$H79),60,60/(($E79-$H79)*Calculator!$E$8))</f>
        <v>60</v>
      </c>
      <c r="R79" s="27">
        <f t="shared" si="12"/>
        <v>0</v>
      </c>
      <c r="S79" s="26">
        <f t="shared" si="13"/>
        <v>0</v>
      </c>
      <c r="T79" s="26">
        <f t="shared" si="14"/>
        <v>12.5</v>
      </c>
      <c r="U79" s="27">
        <f t="shared" si="15"/>
        <v>12.5</v>
      </c>
      <c r="V79" s="78">
        <f t="shared" si="16"/>
        <v>12.5</v>
      </c>
      <c r="W79" s="248">
        <f t="shared" si="17"/>
        <v>0</v>
      </c>
      <c r="X79" s="249">
        <f t="shared" si="18"/>
        <v>0</v>
      </c>
      <c r="Y79" s="251">
        <f t="shared" si="19"/>
        <v>1</v>
      </c>
    </row>
    <row r="80" spans="1:25" ht="20.100000000000001" customHeight="1">
      <c r="A80" s="264" t="s">
        <v>171</v>
      </c>
      <c r="B80" s="257" t="s">
        <v>165</v>
      </c>
      <c r="C80" s="10"/>
      <c r="D80" s="9" t="s">
        <v>11</v>
      </c>
      <c r="E80" s="10">
        <v>22</v>
      </c>
      <c r="F80" s="11">
        <v>0</v>
      </c>
      <c r="G80" s="11">
        <v>1</v>
      </c>
      <c r="H80" s="13">
        <v>16</v>
      </c>
      <c r="I80" s="11">
        <f t="shared" si="10"/>
        <v>16</v>
      </c>
      <c r="J80" s="75">
        <f t="shared" si="11"/>
        <v>15</v>
      </c>
      <c r="K80" s="28">
        <f>PRODUCT($E80,Calculator!$E$8)</f>
        <v>99</v>
      </c>
      <c r="L80" s="13">
        <f>PRODUCT($I80,Calculator!$E$8)</f>
        <v>72</v>
      </c>
      <c r="M80" s="75">
        <f>PRODUCT($J80,Calculator!$E$8)</f>
        <v>67.5</v>
      </c>
      <c r="N80" s="12">
        <f>60/($E80*Calculator!$E$8)</f>
        <v>0.60606060606060608</v>
      </c>
      <c r="O80" s="12">
        <f>IF(($E80=$F80),60,60/(($E80-$F80)*Calculator!$E$8))</f>
        <v>0.60606060606060608</v>
      </c>
      <c r="P80" s="77">
        <f>IF(($E80=$G80),60,60/(($E80-$G80)*Calculator!$E$8))</f>
        <v>0.63492063492063489</v>
      </c>
      <c r="Q80" s="12">
        <f>IF(($E80=$H80),60,60/(($E80-$H80)*Calculator!$E$8))</f>
        <v>2.2222222222222223</v>
      </c>
      <c r="R80" s="26">
        <f t="shared" si="12"/>
        <v>0</v>
      </c>
      <c r="S80" s="26">
        <f t="shared" si="13"/>
        <v>4.7619047619047533E-2</v>
      </c>
      <c r="T80" s="26">
        <f t="shared" si="14"/>
        <v>2.666666666666667</v>
      </c>
      <c r="U80" s="26">
        <f t="shared" si="15"/>
        <v>2.666666666666667</v>
      </c>
      <c r="V80" s="78">
        <f t="shared" si="16"/>
        <v>2.5000000000000004</v>
      </c>
      <c r="W80" s="248">
        <f t="shared" si="17"/>
        <v>0</v>
      </c>
      <c r="X80" s="249">
        <f t="shared" si="18"/>
        <v>4.5454545454545456E-2</v>
      </c>
      <c r="Y80" s="251">
        <f t="shared" si="19"/>
        <v>0.72727272727272729</v>
      </c>
    </row>
    <row r="81" spans="1:25" ht="20.100000000000001" customHeight="1">
      <c r="A81" s="264" t="s">
        <v>172</v>
      </c>
      <c r="B81" s="257" t="s">
        <v>165</v>
      </c>
      <c r="C81" s="10"/>
      <c r="D81" s="9" t="s">
        <v>11</v>
      </c>
      <c r="E81" s="10">
        <v>80</v>
      </c>
      <c r="F81" s="11">
        <v>0</v>
      </c>
      <c r="G81" s="11">
        <v>36</v>
      </c>
      <c r="H81" s="13">
        <v>54</v>
      </c>
      <c r="I81" s="11">
        <f t="shared" si="10"/>
        <v>54</v>
      </c>
      <c r="J81" s="75">
        <f t="shared" si="11"/>
        <v>18</v>
      </c>
      <c r="K81" s="28">
        <f>PRODUCT($E81,Calculator!$E$8)</f>
        <v>360</v>
      </c>
      <c r="L81" s="13">
        <f>PRODUCT($I81,Calculator!$E$8)</f>
        <v>243</v>
      </c>
      <c r="M81" s="75">
        <f>PRODUCT($J81,Calculator!$E$8)</f>
        <v>81</v>
      </c>
      <c r="N81" s="12">
        <f>60/($E81*Calculator!$E$8)</f>
        <v>0.16666666666666666</v>
      </c>
      <c r="O81" s="12">
        <f>IF(($E81=$F81),60,60/(($E81-$F81)*Calculator!$E$8))</f>
        <v>0.16666666666666666</v>
      </c>
      <c r="P81" s="77">
        <f>IF(($E81=$G81),60,60/(($E81-$G81)*Calculator!$E$8))</f>
        <v>0.30303030303030304</v>
      </c>
      <c r="Q81" s="12">
        <f>IF(($E81=$H81),60,60/(($E81-$H81)*Calculator!$E$8))</f>
        <v>0.51282051282051277</v>
      </c>
      <c r="R81" s="26">
        <f t="shared" si="12"/>
        <v>0</v>
      </c>
      <c r="S81" s="26">
        <f t="shared" si="13"/>
        <v>0.81818181818181834</v>
      </c>
      <c r="T81" s="26">
        <f t="shared" si="14"/>
        <v>2.0769230769230771</v>
      </c>
      <c r="U81" s="26">
        <f t="shared" si="15"/>
        <v>2.0769230769230771</v>
      </c>
      <c r="V81" s="78">
        <f t="shared" si="16"/>
        <v>0.69230769230769207</v>
      </c>
      <c r="W81" s="248">
        <f t="shared" si="17"/>
        <v>0</v>
      </c>
      <c r="X81" s="249">
        <f t="shared" si="18"/>
        <v>0.45</v>
      </c>
      <c r="Y81" s="251">
        <f t="shared" si="19"/>
        <v>0.67500000000000004</v>
      </c>
    </row>
    <row r="82" spans="1:25" ht="20.100000000000001" customHeight="1">
      <c r="A82" s="7" t="s">
        <v>36</v>
      </c>
      <c r="B82" s="257" t="s">
        <v>167</v>
      </c>
      <c r="C82" s="10"/>
      <c r="D82" s="10"/>
      <c r="E82" s="10">
        <v>14</v>
      </c>
      <c r="F82" s="11">
        <v>0</v>
      </c>
      <c r="G82" s="11">
        <v>0</v>
      </c>
      <c r="H82" s="13">
        <v>14</v>
      </c>
      <c r="I82" s="10">
        <f t="shared" si="10"/>
        <v>14</v>
      </c>
      <c r="J82" s="75">
        <f t="shared" si="11"/>
        <v>14</v>
      </c>
      <c r="K82" s="10">
        <f>PRODUCT($E82,Calculator!$E$8)</f>
        <v>63</v>
      </c>
      <c r="L82" s="13">
        <f>PRODUCT($I82,Calculator!$E$8)</f>
        <v>63</v>
      </c>
      <c r="M82" s="75">
        <f>PRODUCT($J82,Calculator!$E$8)</f>
        <v>63</v>
      </c>
      <c r="N82" s="14">
        <f>60/($E82*Calculator!$E$8)</f>
        <v>0.95238095238095233</v>
      </c>
      <c r="O82" s="14">
        <f>IF(($E82=$F82),60,60/(($E82-$F82)*Calculator!$E$8))</f>
        <v>0.95238095238095233</v>
      </c>
      <c r="P82" s="77">
        <f>IF(($E82=$G82),60,60/(($E82-$G82)*Calculator!$E$8))</f>
        <v>0.95238095238095233</v>
      </c>
      <c r="Q82" s="25">
        <f>IF(($E82=$H82),60,60/(($E82-$H82)*Calculator!$E$8))</f>
        <v>60</v>
      </c>
      <c r="R82" s="27">
        <f t="shared" si="12"/>
        <v>0</v>
      </c>
      <c r="S82" s="26">
        <f t="shared" si="13"/>
        <v>0</v>
      </c>
      <c r="T82" s="26">
        <f t="shared" si="14"/>
        <v>62.000000000000007</v>
      </c>
      <c r="U82" s="27">
        <f t="shared" si="15"/>
        <v>62.000000000000007</v>
      </c>
      <c r="V82" s="78">
        <f t="shared" si="16"/>
        <v>62.000000000000007</v>
      </c>
      <c r="W82" s="248">
        <f t="shared" si="17"/>
        <v>0</v>
      </c>
      <c r="X82" s="249">
        <f t="shared" si="18"/>
        <v>0</v>
      </c>
      <c r="Y82" s="251">
        <f t="shared" si="19"/>
        <v>1</v>
      </c>
    </row>
    <row r="83" spans="1:25" ht="20.100000000000001" customHeight="1">
      <c r="A83" s="7" t="s">
        <v>37</v>
      </c>
      <c r="B83" s="257" t="s">
        <v>165</v>
      </c>
      <c r="C83" s="10"/>
      <c r="D83" s="10"/>
      <c r="E83" s="10">
        <v>13</v>
      </c>
      <c r="F83" s="11">
        <v>0</v>
      </c>
      <c r="G83" s="11">
        <v>0</v>
      </c>
      <c r="H83" s="13">
        <v>13</v>
      </c>
      <c r="I83" s="10">
        <f t="shared" ref="I83:I114" si="20">H83-F83</f>
        <v>13</v>
      </c>
      <c r="J83" s="75">
        <f t="shared" ref="J83:J117" si="21">H83-G83</f>
        <v>13</v>
      </c>
      <c r="K83" s="10">
        <f>PRODUCT($E83,Calculator!$E$8)</f>
        <v>58.5</v>
      </c>
      <c r="L83" s="13">
        <f>PRODUCT($I83,Calculator!$E$8)</f>
        <v>58.5</v>
      </c>
      <c r="M83" s="75">
        <f>PRODUCT($J83,Calculator!$E$8)</f>
        <v>58.5</v>
      </c>
      <c r="N83" s="14">
        <f>60/($E83*Calculator!$E$8)</f>
        <v>1.0256410256410255</v>
      </c>
      <c r="O83" s="14">
        <f>IF(($E83=$F83),60,60/(($E83-$F83)*Calculator!$E$8))</f>
        <v>1.0256410256410255</v>
      </c>
      <c r="P83" s="77">
        <f>IF(($E83=$G83),60,60/(($E83-$G83)*Calculator!$E$8))</f>
        <v>1.0256410256410255</v>
      </c>
      <c r="Q83" s="25">
        <f>IF(($E83=$H83),60,60/(($E83-$H83)*Calculator!$E$8))</f>
        <v>60</v>
      </c>
      <c r="R83" s="27">
        <f t="shared" ref="R83:R117" si="22">(O83-N83)/N83</f>
        <v>0</v>
      </c>
      <c r="S83" s="26">
        <f t="shared" ref="S83:S117" si="23">(P83-N83)/N83</f>
        <v>0</v>
      </c>
      <c r="T83" s="26">
        <f t="shared" ref="T83:T117" si="24">(Q83-N83)/N83</f>
        <v>57.500000000000007</v>
      </c>
      <c r="U83" s="27">
        <f t="shared" ref="U83:U117" si="25">(Q83-O83)/O83</f>
        <v>57.500000000000007</v>
      </c>
      <c r="V83" s="78">
        <f t="shared" ref="V83:V117" si="26">(Q83-P83)/P83</f>
        <v>57.500000000000007</v>
      </c>
      <c r="W83" s="248">
        <f t="shared" ref="W83:W117" si="27" xml:space="preserve"> F83/E83</f>
        <v>0</v>
      </c>
      <c r="X83" s="249">
        <f t="shared" ref="X83:X115" si="28" xml:space="preserve"> G83/E83</f>
        <v>0</v>
      </c>
      <c r="Y83" s="251">
        <f t="shared" ref="Y83:Y117" si="29">H83/E83</f>
        <v>1</v>
      </c>
    </row>
    <row r="84" spans="1:25" ht="20.100000000000001" customHeight="1">
      <c r="A84" s="7" t="s">
        <v>197</v>
      </c>
      <c r="B84" s="257" t="s">
        <v>165</v>
      </c>
      <c r="C84" s="9" t="s">
        <v>11</v>
      </c>
      <c r="D84" s="9" t="s">
        <v>11</v>
      </c>
      <c r="E84" s="10">
        <v>268</v>
      </c>
      <c r="F84" s="11">
        <v>223</v>
      </c>
      <c r="G84" s="11">
        <v>248</v>
      </c>
      <c r="H84" s="11">
        <v>262</v>
      </c>
      <c r="I84" s="11">
        <f t="shared" si="20"/>
        <v>39</v>
      </c>
      <c r="J84" s="75">
        <f t="shared" si="21"/>
        <v>14</v>
      </c>
      <c r="K84" s="28">
        <f>PRODUCT($E84,Calculator!$E$8)</f>
        <v>1206</v>
      </c>
      <c r="L84" s="11">
        <f>PRODUCT($I84,Calculator!$E$8)</f>
        <v>175.5</v>
      </c>
      <c r="M84" s="75">
        <f>PRODUCT($J84,Calculator!$E$8)</f>
        <v>63</v>
      </c>
      <c r="N84" s="12">
        <f>60/($E84*Calculator!$E$8)</f>
        <v>4.975124378109453E-2</v>
      </c>
      <c r="O84" s="12">
        <f>IF(($E84=$F84),60,60/(($E84-$F84)*Calculator!$E$8))</f>
        <v>0.29629629629629628</v>
      </c>
      <c r="P84" s="77">
        <f>IF(($E84=$G84),60,60/(($E84-$G84)*Calculator!$E$8))</f>
        <v>0.66666666666666663</v>
      </c>
      <c r="Q84" s="24">
        <f>IF(($E84=$H84),60,60/(($E84-$H84)*Calculator!$E$8))</f>
        <v>2.2222222222222223</v>
      </c>
      <c r="R84" s="26">
        <f t="shared" si="22"/>
        <v>4.9555555555555548</v>
      </c>
      <c r="S84" s="26">
        <f t="shared" si="23"/>
        <v>12.399999999999999</v>
      </c>
      <c r="T84" s="26">
        <f t="shared" si="24"/>
        <v>43.666666666666664</v>
      </c>
      <c r="U84" s="26">
        <f t="shared" si="25"/>
        <v>6.5000000000000009</v>
      </c>
      <c r="V84" s="78">
        <f t="shared" si="26"/>
        <v>2.3333333333333339</v>
      </c>
      <c r="W84" s="248">
        <f t="shared" si="27"/>
        <v>0.83208955223880599</v>
      </c>
      <c r="X84" s="249">
        <f t="shared" si="28"/>
        <v>0.92537313432835822</v>
      </c>
      <c r="Y84" s="251">
        <f t="shared" si="29"/>
        <v>0.97761194029850751</v>
      </c>
    </row>
    <row r="85" spans="1:25" ht="20.100000000000001" customHeight="1">
      <c r="A85" s="7" t="s">
        <v>198</v>
      </c>
      <c r="B85" s="257" t="s">
        <v>165</v>
      </c>
      <c r="C85" s="9" t="s">
        <v>11</v>
      </c>
      <c r="D85" s="9" t="s">
        <v>11</v>
      </c>
      <c r="E85" s="10">
        <v>265</v>
      </c>
      <c r="F85" s="11">
        <v>215</v>
      </c>
      <c r="G85" s="11">
        <v>245</v>
      </c>
      <c r="H85" s="11">
        <v>259</v>
      </c>
      <c r="I85" s="10">
        <f t="shared" si="20"/>
        <v>44</v>
      </c>
      <c r="J85" s="75">
        <f t="shared" si="21"/>
        <v>14</v>
      </c>
      <c r="K85" s="10">
        <f>PRODUCT($E85,Calculator!$E$8)</f>
        <v>1192.5</v>
      </c>
      <c r="L85" s="11">
        <f>PRODUCT($I85,Calculator!$E$8)</f>
        <v>198</v>
      </c>
      <c r="M85" s="75">
        <f>PRODUCT($J85,Calculator!$E$8)</f>
        <v>63</v>
      </c>
      <c r="N85" s="12">
        <f>60/($E85*Calculator!$E$8)</f>
        <v>5.0314465408805034E-2</v>
      </c>
      <c r="O85" s="12">
        <f>IF(($E85=$F85),60,60/(($E85-$F85)*Calculator!$E$8))</f>
        <v>0.26666666666666666</v>
      </c>
      <c r="P85" s="77">
        <f>IF(($E85=$G85),60,60/(($E85-$G85)*Calculator!$E$8))</f>
        <v>0.66666666666666663</v>
      </c>
      <c r="Q85" s="12">
        <f>IF(($E85=$H85),60,60/(($E85-$H85)*Calculator!$E$8))</f>
        <v>2.2222222222222223</v>
      </c>
      <c r="R85" s="26">
        <f t="shared" si="22"/>
        <v>4.3</v>
      </c>
      <c r="S85" s="26">
        <f t="shared" si="23"/>
        <v>12.249999999999998</v>
      </c>
      <c r="T85" s="26">
        <f t="shared" si="24"/>
        <v>43.166666666666664</v>
      </c>
      <c r="U85" s="26">
        <f t="shared" si="25"/>
        <v>7.3333333333333339</v>
      </c>
      <c r="V85" s="78">
        <f t="shared" si="26"/>
        <v>2.3333333333333339</v>
      </c>
      <c r="W85" s="248">
        <f t="shared" si="27"/>
        <v>0.81132075471698117</v>
      </c>
      <c r="X85" s="249">
        <f t="shared" si="28"/>
        <v>0.92452830188679247</v>
      </c>
      <c r="Y85" s="251">
        <f t="shared" si="29"/>
        <v>0.97735849056603774</v>
      </c>
    </row>
    <row r="86" spans="1:25" ht="20.100000000000001" customHeight="1">
      <c r="A86" s="7" t="s">
        <v>199</v>
      </c>
      <c r="B86" s="257" t="s">
        <v>165</v>
      </c>
      <c r="C86" s="9" t="s">
        <v>11</v>
      </c>
      <c r="D86" s="9" t="s">
        <v>11</v>
      </c>
      <c r="E86" s="10">
        <v>21</v>
      </c>
      <c r="F86" s="11">
        <v>20</v>
      </c>
      <c r="G86" s="11">
        <v>20</v>
      </c>
      <c r="H86" s="13">
        <v>20</v>
      </c>
      <c r="I86" s="10">
        <f t="shared" si="20"/>
        <v>0</v>
      </c>
      <c r="J86" s="75">
        <f t="shared" si="21"/>
        <v>0</v>
      </c>
      <c r="K86" s="10">
        <f>PRODUCT($E86,Calculator!$E$8)</f>
        <v>94.5</v>
      </c>
      <c r="L86" s="11">
        <f>PRODUCT($I86,Calculator!$E$8)</f>
        <v>0</v>
      </c>
      <c r="M86" s="75">
        <f>PRODUCT($J86,Calculator!$E$8)</f>
        <v>0</v>
      </c>
      <c r="N86" s="12">
        <f>60/($E86*Calculator!$E$8)</f>
        <v>0.63492063492063489</v>
      </c>
      <c r="O86" s="12">
        <f>IF(($E86=$F86),60,60/(($E86-$F86)*Calculator!$E$8))</f>
        <v>13.333333333333334</v>
      </c>
      <c r="P86" s="77">
        <f>IF(($E86=$G86),60,60/(($E86-$G86)*Calculator!$E$8))</f>
        <v>13.333333333333334</v>
      </c>
      <c r="Q86" s="12">
        <f>IF(($E86=$H86),60,60/(($E86-$H86)*Calculator!$E$8))</f>
        <v>13.333333333333334</v>
      </c>
      <c r="R86" s="26">
        <f t="shared" si="22"/>
        <v>20.000000000000004</v>
      </c>
      <c r="S86" s="26">
        <f t="shared" si="23"/>
        <v>20.000000000000004</v>
      </c>
      <c r="T86" s="26">
        <f t="shared" si="24"/>
        <v>20.000000000000004</v>
      </c>
      <c r="U86" s="26">
        <f t="shared" si="25"/>
        <v>0</v>
      </c>
      <c r="V86" s="78">
        <f t="shared" si="26"/>
        <v>0</v>
      </c>
      <c r="W86" s="248">
        <f t="shared" si="27"/>
        <v>0.95238095238095233</v>
      </c>
      <c r="X86" s="249">
        <f t="shared" si="28"/>
        <v>0.95238095238095233</v>
      </c>
      <c r="Y86" s="251">
        <f t="shared" si="29"/>
        <v>0.95238095238095233</v>
      </c>
    </row>
    <row r="87" spans="1:25" ht="20.100000000000001" customHeight="1">
      <c r="A87" s="7" t="s">
        <v>200</v>
      </c>
      <c r="B87" s="257" t="s">
        <v>167</v>
      </c>
      <c r="C87" s="9"/>
      <c r="D87" s="9" t="s">
        <v>11</v>
      </c>
      <c r="E87" s="10">
        <v>364</v>
      </c>
      <c r="F87" s="11">
        <v>0</v>
      </c>
      <c r="G87" s="11">
        <v>258</v>
      </c>
      <c r="H87" s="13">
        <v>318</v>
      </c>
      <c r="I87" s="13">
        <f t="shared" si="20"/>
        <v>318</v>
      </c>
      <c r="J87" s="75">
        <f t="shared" si="21"/>
        <v>60</v>
      </c>
      <c r="K87" s="13">
        <f>PRODUCT($E87,Calculator!$E$8)</f>
        <v>1638</v>
      </c>
      <c r="L87" s="13">
        <f>PRODUCT($I87,Calculator!$E$8)</f>
        <v>1431</v>
      </c>
      <c r="M87" s="75">
        <f>PRODUCT($J87,Calculator!$E$8)</f>
        <v>270</v>
      </c>
      <c r="N87" s="14">
        <f>60/($E87*Calculator!$E$8)</f>
        <v>3.6630036630036632E-2</v>
      </c>
      <c r="O87" s="14">
        <f>IF(($E87=$F87),60,60/(($E87-$F87)*Calculator!$E$8))</f>
        <v>3.6630036630036632E-2</v>
      </c>
      <c r="P87" s="77">
        <f>IF(($E87=$G87),60,60/(($E87-$G87)*Calculator!$E$8))</f>
        <v>0.12578616352201258</v>
      </c>
      <c r="Q87" s="25">
        <f>IF(($E87=$H87),60,60/(($E87-$H87)*Calculator!$E$8))</f>
        <v>0.28985507246376813</v>
      </c>
      <c r="R87" s="27">
        <f t="shared" si="22"/>
        <v>0</v>
      </c>
      <c r="S87" s="26">
        <f t="shared" si="23"/>
        <v>2.4339622641509431</v>
      </c>
      <c r="T87" s="26">
        <f t="shared" si="24"/>
        <v>6.9130434782608701</v>
      </c>
      <c r="U87" s="27">
        <f t="shared" si="25"/>
        <v>6.9130434782608701</v>
      </c>
      <c r="V87" s="78">
        <f t="shared" si="26"/>
        <v>1.3043478260869565</v>
      </c>
      <c r="W87" s="248">
        <f t="shared" si="27"/>
        <v>0</v>
      </c>
      <c r="X87" s="249">
        <f t="shared" si="28"/>
        <v>0.70879120879120883</v>
      </c>
      <c r="Y87" s="251">
        <f t="shared" si="29"/>
        <v>0.87362637362637363</v>
      </c>
    </row>
    <row r="88" spans="1:25" ht="20.100000000000001" customHeight="1">
      <c r="A88" s="7" t="s">
        <v>201</v>
      </c>
      <c r="B88" s="257" t="s">
        <v>167</v>
      </c>
      <c r="C88" s="9"/>
      <c r="D88" s="9" t="s">
        <v>11</v>
      </c>
      <c r="E88" s="10">
        <v>329</v>
      </c>
      <c r="F88" s="11">
        <v>0</v>
      </c>
      <c r="G88" s="11">
        <v>247</v>
      </c>
      <c r="H88" s="13">
        <v>296</v>
      </c>
      <c r="I88" s="13">
        <f t="shared" si="20"/>
        <v>296</v>
      </c>
      <c r="J88" s="75">
        <f t="shared" si="21"/>
        <v>49</v>
      </c>
      <c r="K88" s="28">
        <f>PRODUCT($E88,Calculator!$E$8)</f>
        <v>1480.5</v>
      </c>
      <c r="L88" s="13">
        <f>PRODUCT($I88,Calculator!$E$8)</f>
        <v>1332</v>
      </c>
      <c r="M88" s="75">
        <f>PRODUCT($J88,Calculator!$E$8)</f>
        <v>220.5</v>
      </c>
      <c r="N88" s="12">
        <f>60/($E88*Calculator!$E$8)</f>
        <v>4.0526849037487336E-2</v>
      </c>
      <c r="O88" s="12">
        <f>IF(($E88=$F88),60,60/(($E88-$F88)*Calculator!$E$8))</f>
        <v>4.0526849037487336E-2</v>
      </c>
      <c r="P88" s="77">
        <f>IF(($E88=$G88),60,60/(($E88-$G88)*Calculator!$E$8))</f>
        <v>0.16260162601626016</v>
      </c>
      <c r="Q88" s="12">
        <f>IF(($E88=$H88),60,60/(($E88-$H88)*Calculator!$E$8))</f>
        <v>0.40404040404040403</v>
      </c>
      <c r="R88" s="26">
        <f t="shared" si="22"/>
        <v>0</v>
      </c>
      <c r="S88" s="26">
        <f t="shared" si="23"/>
        <v>3.0121951219512195</v>
      </c>
      <c r="T88" s="26">
        <f t="shared" si="24"/>
        <v>8.9696969696969688</v>
      </c>
      <c r="U88" s="26">
        <f t="shared" si="25"/>
        <v>8.9696969696969688</v>
      </c>
      <c r="V88" s="78">
        <f t="shared" si="26"/>
        <v>1.4848484848484849</v>
      </c>
      <c r="W88" s="248">
        <f t="shared" si="27"/>
        <v>0</v>
      </c>
      <c r="X88" s="249">
        <f t="shared" si="28"/>
        <v>0.75075987841945291</v>
      </c>
      <c r="Y88" s="251">
        <f t="shared" si="29"/>
        <v>0.89969604863221886</v>
      </c>
    </row>
    <row r="89" spans="1:25" ht="20.100000000000001" customHeight="1">
      <c r="A89" s="7" t="s">
        <v>202</v>
      </c>
      <c r="B89" s="257" t="s">
        <v>166</v>
      </c>
      <c r="C89" s="9" t="s">
        <v>11</v>
      </c>
      <c r="D89" s="9" t="s">
        <v>11</v>
      </c>
      <c r="E89" s="10">
        <v>273</v>
      </c>
      <c r="F89" s="11">
        <v>202</v>
      </c>
      <c r="G89" s="11">
        <v>235</v>
      </c>
      <c r="H89" s="13">
        <v>240</v>
      </c>
      <c r="I89" s="13">
        <f t="shared" si="20"/>
        <v>38</v>
      </c>
      <c r="J89" s="75">
        <f t="shared" si="21"/>
        <v>5</v>
      </c>
      <c r="K89" s="28">
        <f>PRODUCT($E89,Calculator!$E$8)</f>
        <v>1228.5</v>
      </c>
      <c r="L89" s="13">
        <f>PRODUCT($I89,Calculator!$E$8)</f>
        <v>171</v>
      </c>
      <c r="M89" s="75">
        <f>PRODUCT($J89,Calculator!$E$8)</f>
        <v>22.5</v>
      </c>
      <c r="N89" s="12">
        <f>60/($E89*Calculator!$E$8)</f>
        <v>4.884004884004884E-2</v>
      </c>
      <c r="O89" s="12">
        <f>IF(($E89=$F89),60,60/(($E89-$F89)*Calculator!$E$8))</f>
        <v>0.18779342723004694</v>
      </c>
      <c r="P89" s="77">
        <f>IF(($E89=$G89),60,60/(($E89-$G89)*Calculator!$E$8))</f>
        <v>0.35087719298245612</v>
      </c>
      <c r="Q89" s="24">
        <f>IF(($E89=$H89),60,60/(($E89-$H89)*Calculator!$E$8))</f>
        <v>0.40404040404040403</v>
      </c>
      <c r="R89" s="26">
        <f t="shared" si="22"/>
        <v>2.845070422535211</v>
      </c>
      <c r="S89" s="26">
        <f t="shared" si="23"/>
        <v>6.1842105263157894</v>
      </c>
      <c r="T89" s="26">
        <f t="shared" si="24"/>
        <v>7.2727272727272725</v>
      </c>
      <c r="U89" s="26">
        <f t="shared" si="25"/>
        <v>1.1515151515151516</v>
      </c>
      <c r="V89" s="78">
        <f t="shared" si="26"/>
        <v>0.15151515151515155</v>
      </c>
      <c r="W89" s="248">
        <f t="shared" si="27"/>
        <v>0.73992673992673996</v>
      </c>
      <c r="X89" s="249">
        <f t="shared" si="28"/>
        <v>0.86080586080586086</v>
      </c>
      <c r="Y89" s="251">
        <f t="shared" si="29"/>
        <v>0.87912087912087911</v>
      </c>
    </row>
    <row r="90" spans="1:25" ht="20.100000000000001" customHeight="1">
      <c r="A90" s="7" t="s">
        <v>203</v>
      </c>
      <c r="B90" s="257" t="s">
        <v>165</v>
      </c>
      <c r="C90" s="9" t="s">
        <v>11</v>
      </c>
      <c r="D90" s="9" t="s">
        <v>11</v>
      </c>
      <c r="E90" s="10">
        <v>283</v>
      </c>
      <c r="F90" s="11">
        <v>210</v>
      </c>
      <c r="G90" s="11">
        <v>237</v>
      </c>
      <c r="H90" s="13">
        <v>251</v>
      </c>
      <c r="I90" s="13">
        <f t="shared" si="20"/>
        <v>41</v>
      </c>
      <c r="J90" s="75">
        <f t="shared" si="21"/>
        <v>14</v>
      </c>
      <c r="K90" s="28">
        <f>PRODUCT($E90,Calculator!$E$8)</f>
        <v>1273.5</v>
      </c>
      <c r="L90" s="13">
        <f>PRODUCT($I90,Calculator!$E$8)</f>
        <v>184.5</v>
      </c>
      <c r="M90" s="75">
        <f>PRODUCT($J90,Calculator!$E$8)</f>
        <v>63</v>
      </c>
      <c r="N90" s="12">
        <f>60/($E90*Calculator!$E$8)</f>
        <v>4.7114252061248529E-2</v>
      </c>
      <c r="O90" s="12">
        <f>IF(($E90=$F90),60,60/(($E90-$F90)*Calculator!$E$8))</f>
        <v>0.18264840182648401</v>
      </c>
      <c r="P90" s="77">
        <f>IF(($E90=$G90),60,60/(($E90-$G90)*Calculator!$E$8))</f>
        <v>0.28985507246376813</v>
      </c>
      <c r="Q90" s="24">
        <f>IF(($E90=$H90),60,60/(($E90-$H90)*Calculator!$E$8))</f>
        <v>0.41666666666666669</v>
      </c>
      <c r="R90" s="26">
        <f t="shared" si="22"/>
        <v>2.8767123287671228</v>
      </c>
      <c r="S90" s="26">
        <f t="shared" si="23"/>
        <v>5.1521739130434785</v>
      </c>
      <c r="T90" s="26">
        <f t="shared" si="24"/>
        <v>7.84375</v>
      </c>
      <c r="U90" s="26">
        <f t="shared" si="25"/>
        <v>1.2812500000000002</v>
      </c>
      <c r="V90" s="78">
        <f t="shared" si="26"/>
        <v>0.4375</v>
      </c>
      <c r="W90" s="248">
        <f t="shared" si="27"/>
        <v>0.74204946996466437</v>
      </c>
      <c r="X90" s="249">
        <f t="shared" si="28"/>
        <v>0.83745583038869253</v>
      </c>
      <c r="Y90" s="251">
        <f t="shared" si="29"/>
        <v>0.88692579505300351</v>
      </c>
    </row>
    <row r="91" spans="1:25" ht="20.100000000000001" customHeight="1">
      <c r="A91" s="7" t="s">
        <v>204</v>
      </c>
      <c r="B91" s="257" t="s">
        <v>165</v>
      </c>
      <c r="C91" s="9" t="s">
        <v>11</v>
      </c>
      <c r="D91" s="9" t="s">
        <v>11</v>
      </c>
      <c r="E91" s="10">
        <v>283</v>
      </c>
      <c r="F91" s="11">
        <v>210</v>
      </c>
      <c r="G91" s="11">
        <v>237</v>
      </c>
      <c r="H91" s="13">
        <v>251</v>
      </c>
      <c r="I91" s="13">
        <f t="shared" si="20"/>
        <v>41</v>
      </c>
      <c r="J91" s="75">
        <f t="shared" si="21"/>
        <v>14</v>
      </c>
      <c r="K91" s="28">
        <f>PRODUCT($E91,Calculator!$E$8)</f>
        <v>1273.5</v>
      </c>
      <c r="L91" s="13">
        <f>PRODUCT($I91,Calculator!$E$8)</f>
        <v>184.5</v>
      </c>
      <c r="M91" s="75">
        <f>PRODUCT($J91,Calculator!$E$8)</f>
        <v>63</v>
      </c>
      <c r="N91" s="12">
        <f>60/($E91*Calculator!$E$8)</f>
        <v>4.7114252061248529E-2</v>
      </c>
      <c r="O91" s="12">
        <f>IF(($E91=$F91),60,60/(($E91-$F91)*Calculator!$E$8))</f>
        <v>0.18264840182648401</v>
      </c>
      <c r="P91" s="77">
        <f>IF(($E91=$G91),60,60/(($E91-$G91)*Calculator!$E$8))</f>
        <v>0.28985507246376813</v>
      </c>
      <c r="Q91" s="24">
        <f>IF(($E91=$H91),60,60/(($E91-$H91)*Calculator!$E$8))</f>
        <v>0.41666666666666669</v>
      </c>
      <c r="R91" s="26">
        <f t="shared" si="22"/>
        <v>2.8767123287671228</v>
      </c>
      <c r="S91" s="26">
        <f t="shared" si="23"/>
        <v>5.1521739130434785</v>
      </c>
      <c r="T91" s="26">
        <f t="shared" si="24"/>
        <v>7.84375</v>
      </c>
      <c r="U91" s="26">
        <f t="shared" si="25"/>
        <v>1.2812500000000002</v>
      </c>
      <c r="V91" s="78">
        <f t="shared" si="26"/>
        <v>0.4375</v>
      </c>
      <c r="W91" s="248">
        <f t="shared" si="27"/>
        <v>0.74204946996466437</v>
      </c>
      <c r="X91" s="249">
        <f t="shared" si="28"/>
        <v>0.83745583038869253</v>
      </c>
      <c r="Y91" s="251">
        <f t="shared" si="29"/>
        <v>0.88692579505300351</v>
      </c>
    </row>
    <row r="92" spans="1:25" ht="20.100000000000001" customHeight="1">
      <c r="A92" s="264" t="s">
        <v>205</v>
      </c>
      <c r="B92" s="257" t="s">
        <v>165</v>
      </c>
      <c r="C92" s="9"/>
      <c r="D92" s="9" t="s">
        <v>11</v>
      </c>
      <c r="E92" s="10">
        <v>83</v>
      </c>
      <c r="F92" s="11">
        <v>0</v>
      </c>
      <c r="G92" s="11">
        <v>42</v>
      </c>
      <c r="H92" s="13">
        <v>69</v>
      </c>
      <c r="I92" s="13">
        <f t="shared" si="20"/>
        <v>69</v>
      </c>
      <c r="J92" s="75">
        <f t="shared" si="21"/>
        <v>27</v>
      </c>
      <c r="K92" s="28">
        <f>PRODUCT($E92,Calculator!$E$8)</f>
        <v>373.5</v>
      </c>
      <c r="L92" s="13">
        <f>PRODUCT($I92,Calculator!$E$8)</f>
        <v>310.5</v>
      </c>
      <c r="M92" s="75">
        <f>PRODUCT($J92,Calculator!$E$8)</f>
        <v>121.5</v>
      </c>
      <c r="N92" s="12">
        <f>60/($E92*Calculator!$E$8)</f>
        <v>0.1606425702811245</v>
      </c>
      <c r="O92" s="12">
        <f>IF(($E92=$F92),60,60/(($E92-$F92)*Calculator!$E$8))</f>
        <v>0.1606425702811245</v>
      </c>
      <c r="P92" s="77">
        <f>IF(($E92=$G92),60,60/(($E92-$G92)*Calculator!$E$8))</f>
        <v>0.32520325203252032</v>
      </c>
      <c r="Q92" s="24">
        <f>IF(($E92=$H92),60,60/(($E92-$H92)*Calculator!$E$8))</f>
        <v>0.95238095238095233</v>
      </c>
      <c r="R92" s="26">
        <f t="shared" si="22"/>
        <v>0</v>
      </c>
      <c r="S92" s="26">
        <f t="shared" si="23"/>
        <v>1.024390243902439</v>
      </c>
      <c r="T92" s="26">
        <f t="shared" si="24"/>
        <v>4.9285714285714279</v>
      </c>
      <c r="U92" s="26">
        <f t="shared" si="25"/>
        <v>4.9285714285714279</v>
      </c>
      <c r="V92" s="78">
        <f t="shared" si="26"/>
        <v>1.9285714285714284</v>
      </c>
      <c r="W92" s="248">
        <f t="shared" si="27"/>
        <v>0</v>
      </c>
      <c r="X92" s="249">
        <f t="shared" si="28"/>
        <v>0.50602409638554213</v>
      </c>
      <c r="Y92" s="251">
        <f t="shared" si="29"/>
        <v>0.83132530120481929</v>
      </c>
    </row>
    <row r="93" spans="1:25" ht="20.100000000000001" customHeight="1">
      <c r="A93" s="7" t="s">
        <v>38</v>
      </c>
      <c r="B93" s="257" t="s">
        <v>167</v>
      </c>
      <c r="C93" s="9"/>
      <c r="D93" s="9"/>
      <c r="E93" s="10">
        <v>36</v>
      </c>
      <c r="F93" s="11">
        <v>0</v>
      </c>
      <c r="G93" s="11">
        <v>0</v>
      </c>
      <c r="H93" s="13">
        <v>36</v>
      </c>
      <c r="I93" s="10">
        <f t="shared" si="20"/>
        <v>36</v>
      </c>
      <c r="J93" s="75">
        <f t="shared" si="21"/>
        <v>36</v>
      </c>
      <c r="K93" s="10">
        <f>PRODUCT($E93,Calculator!$E$8)</f>
        <v>162</v>
      </c>
      <c r="L93" s="13">
        <f>PRODUCT($I93,Calculator!$E$8)</f>
        <v>162</v>
      </c>
      <c r="M93" s="75">
        <f>PRODUCT($J93,Calculator!$E$8)</f>
        <v>162</v>
      </c>
      <c r="N93" s="14">
        <f>60/($E93*Calculator!$E$8)</f>
        <v>0.37037037037037035</v>
      </c>
      <c r="O93" s="14">
        <f>IF(($E93=$F93),60,60/(($E93-$F93)*Calculator!$E$8))</f>
        <v>0.37037037037037035</v>
      </c>
      <c r="P93" s="77">
        <f>IF(($E93=$G93),60,60/(($E93-$G93)*Calculator!$E$8))</f>
        <v>0.37037037037037035</v>
      </c>
      <c r="Q93" s="25">
        <f>IF(($E93=$H93),60,60/(($E93-$H93)*Calculator!$E$8))</f>
        <v>60</v>
      </c>
      <c r="R93" s="27">
        <f t="shared" si="22"/>
        <v>0</v>
      </c>
      <c r="S93" s="26">
        <f t="shared" si="23"/>
        <v>0</v>
      </c>
      <c r="T93" s="26">
        <f t="shared" si="24"/>
        <v>161</v>
      </c>
      <c r="U93" s="27">
        <f t="shared" si="25"/>
        <v>161</v>
      </c>
      <c r="V93" s="78">
        <f t="shared" si="26"/>
        <v>161</v>
      </c>
      <c r="W93" s="248">
        <f t="shared" si="27"/>
        <v>0</v>
      </c>
      <c r="X93" s="249">
        <f t="shared" si="28"/>
        <v>0</v>
      </c>
      <c r="Y93" s="251">
        <f t="shared" si="29"/>
        <v>1</v>
      </c>
    </row>
    <row r="94" spans="1:25" ht="20.100000000000001" customHeight="1">
      <c r="A94" s="7" t="s">
        <v>39</v>
      </c>
      <c r="B94" s="257" t="s">
        <v>165</v>
      </c>
      <c r="C94" s="9"/>
      <c r="D94" s="9"/>
      <c r="E94" s="10">
        <v>34</v>
      </c>
      <c r="F94" s="11">
        <v>0</v>
      </c>
      <c r="G94" s="11">
        <v>0</v>
      </c>
      <c r="H94" s="13">
        <v>34</v>
      </c>
      <c r="I94" s="11">
        <f t="shared" si="20"/>
        <v>34</v>
      </c>
      <c r="J94" s="75">
        <f t="shared" si="21"/>
        <v>34</v>
      </c>
      <c r="K94" s="28">
        <f>PRODUCT($E94,Calculator!$E$8)</f>
        <v>153</v>
      </c>
      <c r="L94" s="13">
        <f>PRODUCT($I94,Calculator!$E$8)</f>
        <v>153</v>
      </c>
      <c r="M94" s="75">
        <f>PRODUCT($J94,Calculator!$E$8)</f>
        <v>153</v>
      </c>
      <c r="N94" s="12">
        <f>60/($E94*Calculator!$E$8)</f>
        <v>0.39215686274509803</v>
      </c>
      <c r="O94" s="12">
        <f>IF(($E94=$F94),60,60/(($E94-$F94)*Calculator!$E$8))</f>
        <v>0.39215686274509803</v>
      </c>
      <c r="P94" s="77">
        <f>IF(($E94=$G94),60,60/(($E94-$G94)*Calculator!$E$8))</f>
        <v>0.39215686274509803</v>
      </c>
      <c r="Q94" s="12">
        <f>IF(($E94=$H94),60,60/(($E94-$H94)*Calculator!$E$8))</f>
        <v>60</v>
      </c>
      <c r="R94" s="26">
        <f t="shared" si="22"/>
        <v>0</v>
      </c>
      <c r="S94" s="26">
        <f t="shared" si="23"/>
        <v>0</v>
      </c>
      <c r="T94" s="26">
        <f t="shared" si="24"/>
        <v>152</v>
      </c>
      <c r="U94" s="26">
        <f t="shared" si="25"/>
        <v>152</v>
      </c>
      <c r="V94" s="78">
        <f t="shared" si="26"/>
        <v>152</v>
      </c>
      <c r="W94" s="248">
        <f t="shared" si="27"/>
        <v>0</v>
      </c>
      <c r="X94" s="249">
        <f t="shared" si="28"/>
        <v>0</v>
      </c>
      <c r="Y94" s="251">
        <f t="shared" si="29"/>
        <v>1</v>
      </c>
    </row>
    <row r="95" spans="1:25" ht="20.100000000000001" customHeight="1">
      <c r="A95" s="7" t="s">
        <v>118</v>
      </c>
      <c r="B95" s="257" t="s">
        <v>166</v>
      </c>
      <c r="C95" s="9"/>
      <c r="D95" s="103"/>
      <c r="E95" s="10">
        <v>44</v>
      </c>
      <c r="F95" s="11">
        <v>0</v>
      </c>
      <c r="G95" s="11">
        <v>0</v>
      </c>
      <c r="H95" s="13">
        <v>24</v>
      </c>
      <c r="I95" s="11">
        <f t="shared" si="20"/>
        <v>24</v>
      </c>
      <c r="J95" s="75">
        <f t="shared" si="21"/>
        <v>24</v>
      </c>
      <c r="K95" s="28">
        <f>PRODUCT($E95,Calculator!$E$8)</f>
        <v>198</v>
      </c>
      <c r="L95" s="13">
        <f>PRODUCT($I95,Calculator!$E$8)</f>
        <v>108</v>
      </c>
      <c r="M95" s="75">
        <f>PRODUCT($J95,Calculator!$E$8)</f>
        <v>108</v>
      </c>
      <c r="N95" s="12">
        <f>60/($E95*Calculator!$E$8)</f>
        <v>0.30303030303030304</v>
      </c>
      <c r="O95" s="12">
        <f>IF(($E95=$F95),60,60/(($E95-$F95)*Calculator!$E$8))</f>
        <v>0.30303030303030304</v>
      </c>
      <c r="P95" s="77">
        <f>IF(($E95=$G95),60,60/(($E95-$G95)*Calculator!$E$8))</f>
        <v>0.30303030303030304</v>
      </c>
      <c r="Q95" s="12">
        <f>IF(($E95=$H95),60,60/(($E95-$H95)*Calculator!$E$8))</f>
        <v>0.66666666666666663</v>
      </c>
      <c r="R95" s="26">
        <f t="shared" si="22"/>
        <v>0</v>
      </c>
      <c r="S95" s="26">
        <f t="shared" si="23"/>
        <v>0</v>
      </c>
      <c r="T95" s="26">
        <f t="shared" si="24"/>
        <v>1.1999999999999997</v>
      </c>
      <c r="U95" s="26">
        <f t="shared" si="25"/>
        <v>1.1999999999999997</v>
      </c>
      <c r="V95" s="78">
        <f t="shared" si="26"/>
        <v>1.1999999999999997</v>
      </c>
      <c r="W95" s="248">
        <f t="shared" si="27"/>
        <v>0</v>
      </c>
      <c r="X95" s="249">
        <f t="shared" si="28"/>
        <v>0</v>
      </c>
      <c r="Y95" s="251">
        <f t="shared" si="29"/>
        <v>0.54545454545454541</v>
      </c>
    </row>
    <row r="96" spans="1:25" ht="20.100000000000001" customHeight="1">
      <c r="A96" s="7" t="s">
        <v>88</v>
      </c>
      <c r="B96" s="257" t="s">
        <v>165</v>
      </c>
      <c r="C96" s="9" t="s">
        <v>11</v>
      </c>
      <c r="D96" s="9" t="s">
        <v>11</v>
      </c>
      <c r="E96" s="10">
        <v>34</v>
      </c>
      <c r="F96" s="11">
        <v>23</v>
      </c>
      <c r="G96" s="11">
        <v>33</v>
      </c>
      <c r="H96" s="13">
        <v>33</v>
      </c>
      <c r="I96" s="10">
        <f t="shared" si="20"/>
        <v>10</v>
      </c>
      <c r="J96" s="75">
        <f t="shared" si="21"/>
        <v>0</v>
      </c>
      <c r="K96" s="10">
        <f>PRODUCT($E96,Calculator!$E$8)</f>
        <v>153</v>
      </c>
      <c r="L96" s="13">
        <f>PRODUCT($I96,Calculator!$E$8)</f>
        <v>45</v>
      </c>
      <c r="M96" s="75">
        <f>PRODUCT($J96,Calculator!$E$8)</f>
        <v>0</v>
      </c>
      <c r="N96" s="14">
        <f>60/($E96*Calculator!$E$8)</f>
        <v>0.39215686274509803</v>
      </c>
      <c r="O96" s="14">
        <f>IF(($E96=$F96),60,60/(($E96-$F96)*Calculator!$E$8))</f>
        <v>1.2121212121212122</v>
      </c>
      <c r="P96" s="77">
        <f>IF(($E96=$G96),60,60/(($E96-$G96)*Calculator!$E$8))</f>
        <v>13.333333333333334</v>
      </c>
      <c r="Q96" s="25">
        <f>IF(($E96=$H96),60,60/(($E96-$H96)*Calculator!$E$8))</f>
        <v>13.333333333333334</v>
      </c>
      <c r="R96" s="27">
        <f t="shared" si="22"/>
        <v>2.0909090909090913</v>
      </c>
      <c r="S96" s="26">
        <f t="shared" si="23"/>
        <v>33</v>
      </c>
      <c r="T96" s="26">
        <f t="shared" si="24"/>
        <v>33</v>
      </c>
      <c r="U96" s="27">
        <f t="shared" si="25"/>
        <v>10</v>
      </c>
      <c r="V96" s="78">
        <f t="shared" si="26"/>
        <v>0</v>
      </c>
      <c r="W96" s="248">
        <f t="shared" si="27"/>
        <v>0.67647058823529416</v>
      </c>
      <c r="X96" s="249">
        <f t="shared" si="28"/>
        <v>0.97058823529411764</v>
      </c>
      <c r="Y96" s="251">
        <f t="shared" si="29"/>
        <v>0.97058823529411764</v>
      </c>
    </row>
    <row r="97" spans="1:25" ht="20.100000000000001" customHeight="1">
      <c r="A97" s="7" t="s">
        <v>206</v>
      </c>
      <c r="B97" s="257" t="s">
        <v>167</v>
      </c>
      <c r="C97" s="10"/>
      <c r="D97" s="10"/>
      <c r="E97" s="10">
        <v>10</v>
      </c>
      <c r="F97" s="11">
        <v>0</v>
      </c>
      <c r="G97" s="11">
        <v>0</v>
      </c>
      <c r="H97" s="13">
        <v>10</v>
      </c>
      <c r="I97" s="11">
        <f t="shared" si="20"/>
        <v>10</v>
      </c>
      <c r="J97" s="75">
        <f t="shared" si="21"/>
        <v>10</v>
      </c>
      <c r="K97" s="28">
        <f>PRODUCT($E97,Calculator!$E$8)</f>
        <v>45</v>
      </c>
      <c r="L97" s="13">
        <f>PRODUCT($I97,Calculator!$E$8)</f>
        <v>45</v>
      </c>
      <c r="M97" s="75">
        <f>PRODUCT($J97,Calculator!$E$8)</f>
        <v>45</v>
      </c>
      <c r="N97" s="12">
        <f>60/($E97*Calculator!$E$8)</f>
        <v>1.3333333333333333</v>
      </c>
      <c r="O97" s="12">
        <f>IF(($E97=$F97),60,60/(($E97-$F97)*Calculator!$E$8))</f>
        <v>1.3333333333333333</v>
      </c>
      <c r="P97" s="77">
        <f>IF(($E97=$G97),60,60/(($E97-$G97)*Calculator!$E$8))</f>
        <v>1.3333333333333333</v>
      </c>
      <c r="Q97" s="12">
        <f>IF(($E97=$H97),60,60/(($E97-$H97)*Calculator!$E$8))</f>
        <v>60</v>
      </c>
      <c r="R97" s="26">
        <f t="shared" si="22"/>
        <v>0</v>
      </c>
      <c r="S97" s="26">
        <f t="shared" si="23"/>
        <v>0</v>
      </c>
      <c r="T97" s="26">
        <f t="shared" si="24"/>
        <v>44</v>
      </c>
      <c r="U97" s="26">
        <f t="shared" si="25"/>
        <v>44</v>
      </c>
      <c r="V97" s="78">
        <f t="shared" si="26"/>
        <v>44</v>
      </c>
      <c r="W97" s="248">
        <f t="shared" si="27"/>
        <v>0</v>
      </c>
      <c r="X97" s="249">
        <f t="shared" si="28"/>
        <v>0</v>
      </c>
      <c r="Y97" s="251">
        <f t="shared" si="29"/>
        <v>1</v>
      </c>
    </row>
    <row r="98" spans="1:25" ht="20.100000000000001" customHeight="1">
      <c r="A98" s="7" t="s">
        <v>207</v>
      </c>
      <c r="B98" s="257" t="s">
        <v>166</v>
      </c>
      <c r="C98" s="10"/>
      <c r="D98" s="10"/>
      <c r="E98" s="10">
        <v>43</v>
      </c>
      <c r="F98" s="11">
        <v>0</v>
      </c>
      <c r="G98" s="11">
        <v>0</v>
      </c>
      <c r="H98" s="13">
        <v>23</v>
      </c>
      <c r="I98" s="10">
        <f t="shared" si="20"/>
        <v>23</v>
      </c>
      <c r="J98" s="75">
        <f t="shared" si="21"/>
        <v>23</v>
      </c>
      <c r="K98" s="10">
        <f>PRODUCT($E98,Calculator!$E$8)</f>
        <v>193.5</v>
      </c>
      <c r="L98" s="13">
        <f>PRODUCT($I98,Calculator!$E$8)</f>
        <v>103.5</v>
      </c>
      <c r="M98" s="75">
        <f>PRODUCT($J98,Calculator!$E$8)</f>
        <v>103.5</v>
      </c>
      <c r="N98" s="14">
        <f>60/($E98*Calculator!$E$8)</f>
        <v>0.31007751937984496</v>
      </c>
      <c r="O98" s="14">
        <f>IF(($E98=$F98),60,60/(($E98-$F98)*Calculator!$E$8))</f>
        <v>0.31007751937984496</v>
      </c>
      <c r="P98" s="77">
        <f>IF(($E98=$G98),60,60/(($E98-$G98)*Calculator!$E$8))</f>
        <v>0.31007751937984496</v>
      </c>
      <c r="Q98" s="14">
        <f>IF(($E98=$H98),60,60/(($E98-$H98)*Calculator!$E$8))</f>
        <v>0.66666666666666663</v>
      </c>
      <c r="R98" s="27">
        <f t="shared" si="22"/>
        <v>0</v>
      </c>
      <c r="S98" s="26">
        <f t="shared" si="23"/>
        <v>0</v>
      </c>
      <c r="T98" s="26">
        <f t="shared" si="24"/>
        <v>1.1499999999999999</v>
      </c>
      <c r="U98" s="27">
        <f t="shared" si="25"/>
        <v>1.1499999999999999</v>
      </c>
      <c r="V98" s="78">
        <f t="shared" si="26"/>
        <v>1.1499999999999999</v>
      </c>
      <c r="W98" s="248">
        <f t="shared" si="27"/>
        <v>0</v>
      </c>
      <c r="X98" s="249">
        <f t="shared" si="28"/>
        <v>0</v>
      </c>
      <c r="Y98" s="251">
        <f t="shared" si="29"/>
        <v>0.53488372093023251</v>
      </c>
    </row>
    <row r="99" spans="1:25" ht="20.100000000000001" customHeight="1">
      <c r="A99" s="7" t="s">
        <v>208</v>
      </c>
      <c r="B99" s="257" t="s">
        <v>166</v>
      </c>
      <c r="C99" s="10"/>
      <c r="D99" s="10"/>
      <c r="E99" s="10">
        <v>93</v>
      </c>
      <c r="F99" s="11">
        <v>0</v>
      </c>
      <c r="G99" s="11">
        <v>0</v>
      </c>
      <c r="H99" s="13">
        <v>63</v>
      </c>
      <c r="I99" s="10">
        <f t="shared" si="20"/>
        <v>63</v>
      </c>
      <c r="J99" s="75">
        <f t="shared" si="21"/>
        <v>63</v>
      </c>
      <c r="K99" s="10">
        <f>PRODUCT($E99,Calculator!$E$8)</f>
        <v>418.5</v>
      </c>
      <c r="L99" s="13">
        <f>PRODUCT($I99,Calculator!$E$8)</f>
        <v>283.5</v>
      </c>
      <c r="M99" s="75">
        <f>PRODUCT($J99,Calculator!$E$8)</f>
        <v>283.5</v>
      </c>
      <c r="N99" s="14">
        <f>60/($E99*Calculator!$E$8)</f>
        <v>0.14336917562724014</v>
      </c>
      <c r="O99" s="14">
        <f>IF(($E99=$F99),60,60/(($E99-$F99)*Calculator!$E$8))</f>
        <v>0.14336917562724014</v>
      </c>
      <c r="P99" s="77">
        <f>IF(($E99=$G99),60,60/(($E99-$G99)*Calculator!$E$8))</f>
        <v>0.14336917562724014</v>
      </c>
      <c r="Q99" s="25">
        <f>IF(($E99=$H99),60,60/(($E99-$H99)*Calculator!$E$8))</f>
        <v>0.44444444444444442</v>
      </c>
      <c r="R99" s="27">
        <f t="shared" si="22"/>
        <v>0</v>
      </c>
      <c r="S99" s="26">
        <f t="shared" si="23"/>
        <v>0</v>
      </c>
      <c r="T99" s="26">
        <f t="shared" si="24"/>
        <v>2.0999999999999996</v>
      </c>
      <c r="U99" s="27">
        <f t="shared" si="25"/>
        <v>2.0999999999999996</v>
      </c>
      <c r="V99" s="78">
        <f t="shared" si="26"/>
        <v>2.0999999999999996</v>
      </c>
      <c r="W99" s="248">
        <f t="shared" si="27"/>
        <v>0</v>
      </c>
      <c r="X99" s="249">
        <f t="shared" si="28"/>
        <v>0</v>
      </c>
      <c r="Y99" s="251">
        <f t="shared" si="29"/>
        <v>0.67741935483870963</v>
      </c>
    </row>
    <row r="100" spans="1:25" ht="20.100000000000001" customHeight="1">
      <c r="A100" s="7" t="s">
        <v>209</v>
      </c>
      <c r="B100" s="257" t="s">
        <v>165</v>
      </c>
      <c r="C100" s="10"/>
      <c r="D100" s="9" t="s">
        <v>11</v>
      </c>
      <c r="E100" s="10">
        <v>28</v>
      </c>
      <c r="F100" s="11">
        <v>0</v>
      </c>
      <c r="G100" s="11">
        <v>2</v>
      </c>
      <c r="H100" s="13">
        <v>19</v>
      </c>
      <c r="I100" s="10">
        <f t="shared" si="20"/>
        <v>19</v>
      </c>
      <c r="J100" s="75">
        <f t="shared" si="21"/>
        <v>17</v>
      </c>
      <c r="K100" s="10">
        <f>PRODUCT($E100,Calculator!$E$8)</f>
        <v>126</v>
      </c>
      <c r="L100" s="13">
        <f>PRODUCT($I100,Calculator!$E$8)</f>
        <v>85.5</v>
      </c>
      <c r="M100" s="75">
        <f>PRODUCT($J100,Calculator!$E$8)</f>
        <v>76.5</v>
      </c>
      <c r="N100" s="14">
        <f>60/($E100*Calculator!$E$8)</f>
        <v>0.47619047619047616</v>
      </c>
      <c r="O100" s="14">
        <f>IF(($E100=$F100),60,60/(($E100-$F100)*Calculator!$E$8))</f>
        <v>0.47619047619047616</v>
      </c>
      <c r="P100" s="77">
        <f>IF(($E100=$G100),60,60/(($E100-$G100)*Calculator!$E$8))</f>
        <v>0.51282051282051277</v>
      </c>
      <c r="Q100" s="25">
        <f>IF(($E100=$H100),60,60/(($E100-$H100)*Calculator!$E$8))</f>
        <v>1.4814814814814814</v>
      </c>
      <c r="R100" s="27">
        <f t="shared" si="22"/>
        <v>0</v>
      </c>
      <c r="S100" s="26">
        <f t="shared" si="23"/>
        <v>7.6923076923076886E-2</v>
      </c>
      <c r="T100" s="26">
        <f t="shared" si="24"/>
        <v>2.1111111111111107</v>
      </c>
      <c r="U100" s="27">
        <f t="shared" si="25"/>
        <v>2.1111111111111107</v>
      </c>
      <c r="V100" s="78">
        <f t="shared" si="26"/>
        <v>1.8888888888888891</v>
      </c>
      <c r="W100" s="248">
        <f t="shared" si="27"/>
        <v>0</v>
      </c>
      <c r="X100" s="249">
        <f t="shared" si="28"/>
        <v>7.1428571428571425E-2</v>
      </c>
      <c r="Y100" s="251">
        <f t="shared" si="29"/>
        <v>0.6785714285714286</v>
      </c>
    </row>
    <row r="101" spans="1:25" ht="20.100000000000001" customHeight="1">
      <c r="A101" s="7" t="s">
        <v>210</v>
      </c>
      <c r="B101" s="257" t="s">
        <v>165</v>
      </c>
      <c r="C101" s="10"/>
      <c r="D101" s="9" t="s">
        <v>11</v>
      </c>
      <c r="E101" s="10">
        <v>101</v>
      </c>
      <c r="F101" s="11">
        <v>0</v>
      </c>
      <c r="G101" s="11">
        <v>56</v>
      </c>
      <c r="H101" s="13">
        <v>79</v>
      </c>
      <c r="I101" s="10">
        <f t="shared" si="20"/>
        <v>79</v>
      </c>
      <c r="J101" s="75">
        <f t="shared" si="21"/>
        <v>23</v>
      </c>
      <c r="K101" s="10">
        <f>PRODUCT($E101,Calculator!$E$8)</f>
        <v>454.5</v>
      </c>
      <c r="L101" s="13">
        <f>PRODUCT($I101,Calculator!$E$8)</f>
        <v>355.5</v>
      </c>
      <c r="M101" s="75">
        <f>PRODUCT($J101,Calculator!$E$8)</f>
        <v>103.5</v>
      </c>
      <c r="N101" s="14">
        <f>60/($E101*Calculator!$E$8)</f>
        <v>0.132013201320132</v>
      </c>
      <c r="O101" s="14">
        <f>IF(($E101=$F101),60,60/(($E101-$F101)*Calculator!$E$8))</f>
        <v>0.132013201320132</v>
      </c>
      <c r="P101" s="77">
        <f>IF(($E101=$G101),60,60/(($E101-$G101)*Calculator!$E$8))</f>
        <v>0.29629629629629628</v>
      </c>
      <c r="Q101" s="14">
        <f>IF(($E101=$H101),60,60/(($E101-$H101)*Calculator!$E$8))</f>
        <v>0.60606060606060608</v>
      </c>
      <c r="R101" s="27">
        <f t="shared" si="22"/>
        <v>0</v>
      </c>
      <c r="S101" s="26">
        <f t="shared" si="23"/>
        <v>1.2444444444444445</v>
      </c>
      <c r="T101" s="26">
        <f t="shared" si="24"/>
        <v>3.5909090909090913</v>
      </c>
      <c r="U101" s="27">
        <f t="shared" si="25"/>
        <v>3.5909090909090913</v>
      </c>
      <c r="V101" s="78">
        <f t="shared" si="26"/>
        <v>1.0454545454545456</v>
      </c>
      <c r="W101" s="248">
        <f t="shared" si="27"/>
        <v>0</v>
      </c>
      <c r="X101" s="249">
        <f t="shared" si="28"/>
        <v>0.5544554455445545</v>
      </c>
      <c r="Y101" s="251">
        <f t="shared" si="29"/>
        <v>0.78217821782178221</v>
      </c>
    </row>
    <row r="102" spans="1:25" ht="20.100000000000001" customHeight="1">
      <c r="A102" s="7" t="s">
        <v>82</v>
      </c>
      <c r="B102" s="257" t="s">
        <v>167</v>
      </c>
      <c r="C102" s="9"/>
      <c r="D102" s="9"/>
      <c r="E102" s="10">
        <v>16</v>
      </c>
      <c r="F102" s="11">
        <v>0</v>
      </c>
      <c r="G102" s="11">
        <v>0</v>
      </c>
      <c r="H102" s="13">
        <v>14</v>
      </c>
      <c r="I102" s="11">
        <f t="shared" si="20"/>
        <v>14</v>
      </c>
      <c r="J102" s="75">
        <f t="shared" si="21"/>
        <v>14</v>
      </c>
      <c r="K102" s="28">
        <f>PRODUCT($E102,Calculator!$E$8)</f>
        <v>72</v>
      </c>
      <c r="L102" s="13">
        <f>PRODUCT($I102,Calculator!$E$8)</f>
        <v>63</v>
      </c>
      <c r="M102" s="75">
        <f>PRODUCT($J102,Calculator!$E$8)</f>
        <v>63</v>
      </c>
      <c r="N102" s="12">
        <f>60/($E102*Calculator!$E$8)</f>
        <v>0.83333333333333337</v>
      </c>
      <c r="O102" s="12">
        <f>IF(($E102=$F102),60,60/(($E102-$F102)*Calculator!$E$8))</f>
        <v>0.83333333333333337</v>
      </c>
      <c r="P102" s="77">
        <f>IF(($E102=$G102),60,60/(($E102-$G102)*Calculator!$E$8))</f>
        <v>0.83333333333333337</v>
      </c>
      <c r="Q102" s="12">
        <f>IF(($E102=$H102),60,60/(($E102-$H102)*Calculator!$E$8))</f>
        <v>6.666666666666667</v>
      </c>
      <c r="R102" s="26">
        <f t="shared" si="22"/>
        <v>0</v>
      </c>
      <c r="S102" s="26">
        <f t="shared" si="23"/>
        <v>0</v>
      </c>
      <c r="T102" s="26">
        <f t="shared" si="24"/>
        <v>7</v>
      </c>
      <c r="U102" s="26">
        <f t="shared" si="25"/>
        <v>7</v>
      </c>
      <c r="V102" s="78">
        <f t="shared" si="26"/>
        <v>7</v>
      </c>
      <c r="W102" s="248">
        <f t="shared" si="27"/>
        <v>0</v>
      </c>
      <c r="X102" s="249">
        <f t="shared" si="28"/>
        <v>0</v>
      </c>
      <c r="Y102" s="251">
        <f t="shared" si="29"/>
        <v>0.875</v>
      </c>
    </row>
    <row r="103" spans="1:25" ht="20.100000000000001" customHeight="1">
      <c r="A103" s="7" t="s">
        <v>211</v>
      </c>
      <c r="B103" s="73" t="s">
        <v>167</v>
      </c>
      <c r="C103" s="9"/>
      <c r="D103" s="9"/>
      <c r="E103" s="10">
        <v>16</v>
      </c>
      <c r="F103" s="11">
        <v>0</v>
      </c>
      <c r="G103" s="11">
        <v>0</v>
      </c>
      <c r="H103" s="13">
        <v>15</v>
      </c>
      <c r="I103" s="10">
        <f t="shared" si="20"/>
        <v>15</v>
      </c>
      <c r="J103" s="75">
        <f t="shared" si="21"/>
        <v>15</v>
      </c>
      <c r="K103" s="10">
        <f>PRODUCT($E103,Calculator!$E$8)</f>
        <v>72</v>
      </c>
      <c r="L103" s="13">
        <f>PRODUCT($I103,Calculator!$E$8)</f>
        <v>67.5</v>
      </c>
      <c r="M103" s="75">
        <f>PRODUCT($J103,Calculator!$E$8)</f>
        <v>67.5</v>
      </c>
      <c r="N103" s="14">
        <f>60/($E103*Calculator!$E$8)</f>
        <v>0.83333333333333337</v>
      </c>
      <c r="O103" s="14">
        <f>IF(($E103=$F103),60,60/(($E103-$F103)*Calculator!$E$8))</f>
        <v>0.83333333333333337</v>
      </c>
      <c r="P103" s="77">
        <f>IF(($E103=$G103),60,60/(($E103-$G103)*Calculator!$E$8))</f>
        <v>0.83333333333333337</v>
      </c>
      <c r="Q103" s="14">
        <f>IF(($E103=$H103),60,60/(($E103-$H103)*Calculator!$E$8))</f>
        <v>13.333333333333334</v>
      </c>
      <c r="R103" s="27">
        <f t="shared" si="22"/>
        <v>0</v>
      </c>
      <c r="S103" s="26">
        <f t="shared" si="23"/>
        <v>0</v>
      </c>
      <c r="T103" s="26">
        <f t="shared" si="24"/>
        <v>15</v>
      </c>
      <c r="U103" s="27">
        <f t="shared" si="25"/>
        <v>15</v>
      </c>
      <c r="V103" s="78">
        <f t="shared" si="26"/>
        <v>15</v>
      </c>
      <c r="W103" s="248">
        <f t="shared" si="27"/>
        <v>0</v>
      </c>
      <c r="X103" s="249">
        <f t="shared" si="28"/>
        <v>0</v>
      </c>
      <c r="Y103" s="251">
        <f t="shared" si="29"/>
        <v>0.9375</v>
      </c>
    </row>
    <row r="104" spans="1:25" ht="20.100000000000001" customHeight="1">
      <c r="A104" s="7" t="s">
        <v>63</v>
      </c>
      <c r="B104" s="257" t="s">
        <v>166</v>
      </c>
      <c r="C104" s="9" t="s">
        <v>11</v>
      </c>
      <c r="D104" s="9" t="s">
        <v>11</v>
      </c>
      <c r="E104" s="10">
        <v>243</v>
      </c>
      <c r="F104" s="11">
        <v>157</v>
      </c>
      <c r="G104" s="11">
        <v>159</v>
      </c>
      <c r="H104" s="13">
        <v>227</v>
      </c>
      <c r="I104" s="10">
        <f t="shared" si="20"/>
        <v>70</v>
      </c>
      <c r="J104" s="75">
        <f t="shared" si="21"/>
        <v>68</v>
      </c>
      <c r="K104" s="10">
        <f>PRODUCT($E104,Calculator!$E$8)</f>
        <v>1093.5</v>
      </c>
      <c r="L104" s="13">
        <f>PRODUCT($I104,Calculator!$E$8)</f>
        <v>315</v>
      </c>
      <c r="M104" s="75">
        <f>PRODUCT($J104,Calculator!$E$8)</f>
        <v>306</v>
      </c>
      <c r="N104" s="14">
        <f>60/($E104*Calculator!$E$8)</f>
        <v>5.4869684499314127E-2</v>
      </c>
      <c r="O104" s="14">
        <f>IF(($E104=$F104),60,60/(($E104-$F104)*Calculator!$E$8))</f>
        <v>0.15503875968992248</v>
      </c>
      <c r="P104" s="77">
        <f>IF(($E104=$G104),60,60/(($E104-$G104)*Calculator!$E$8))</f>
        <v>0.15873015873015872</v>
      </c>
      <c r="Q104" s="25">
        <f>IF(($E104=$H104),60,60/(($E104-$H104)*Calculator!$E$8))</f>
        <v>0.83333333333333337</v>
      </c>
      <c r="R104" s="27">
        <f t="shared" si="22"/>
        <v>1.8255813953488373</v>
      </c>
      <c r="S104" s="26">
        <f t="shared" si="23"/>
        <v>1.892857142857143</v>
      </c>
      <c r="T104" s="26">
        <f t="shared" si="24"/>
        <v>14.1875</v>
      </c>
      <c r="U104" s="27">
        <f t="shared" si="25"/>
        <v>4.3750000000000009</v>
      </c>
      <c r="V104" s="78">
        <f t="shared" si="26"/>
        <v>4.2500000000000009</v>
      </c>
      <c r="W104" s="248">
        <f t="shared" si="27"/>
        <v>0.64609053497942381</v>
      </c>
      <c r="X104" s="249">
        <f t="shared" si="28"/>
        <v>0.65432098765432101</v>
      </c>
      <c r="Y104" s="251">
        <f t="shared" si="29"/>
        <v>0.93415637860082301</v>
      </c>
    </row>
    <row r="105" spans="1:25" ht="20.100000000000001" customHeight="1">
      <c r="A105" s="7" t="s">
        <v>64</v>
      </c>
      <c r="B105" s="257" t="s">
        <v>165</v>
      </c>
      <c r="C105" s="9" t="s">
        <v>11</v>
      </c>
      <c r="D105" s="9" t="s">
        <v>11</v>
      </c>
      <c r="E105" s="10">
        <v>374</v>
      </c>
      <c r="F105" s="11">
        <v>285</v>
      </c>
      <c r="G105" s="11">
        <v>312</v>
      </c>
      <c r="H105" s="13">
        <v>357</v>
      </c>
      <c r="I105" s="10">
        <f t="shared" si="20"/>
        <v>72</v>
      </c>
      <c r="J105" s="75">
        <f t="shared" si="21"/>
        <v>45</v>
      </c>
      <c r="K105" s="10">
        <f>PRODUCT($E105,Calculator!$E$8)</f>
        <v>1683</v>
      </c>
      <c r="L105" s="13">
        <f>PRODUCT($I105,Calculator!$E$8)</f>
        <v>324</v>
      </c>
      <c r="M105" s="75">
        <f>PRODUCT($J105,Calculator!$E$8)</f>
        <v>202.5</v>
      </c>
      <c r="N105" s="14">
        <f>60/($E105*Calculator!$E$8)</f>
        <v>3.5650623885918005E-2</v>
      </c>
      <c r="O105" s="14">
        <f>IF(($E105=$F105),60,60/(($E105-$F105)*Calculator!$E$8))</f>
        <v>0.14981273408239701</v>
      </c>
      <c r="P105" s="77">
        <f>IF(($E105=$G105),60,60/(($E105-$G105)*Calculator!$E$8))</f>
        <v>0.21505376344086022</v>
      </c>
      <c r="Q105" s="14">
        <f>IF(($E105=$H105),60,60/(($E105-$H105)*Calculator!$E$8))</f>
        <v>0.78431372549019607</v>
      </c>
      <c r="R105" s="27">
        <f t="shared" si="22"/>
        <v>3.202247191011236</v>
      </c>
      <c r="S105" s="26">
        <f t="shared" si="23"/>
        <v>5.032258064516129</v>
      </c>
      <c r="T105" s="26">
        <f t="shared" si="24"/>
        <v>21</v>
      </c>
      <c r="U105" s="27">
        <f t="shared" si="25"/>
        <v>4.235294117647058</v>
      </c>
      <c r="V105" s="78">
        <f t="shared" si="26"/>
        <v>2.6470588235294117</v>
      </c>
      <c r="W105" s="248">
        <f t="shared" si="27"/>
        <v>0.76203208556149737</v>
      </c>
      <c r="X105" s="249">
        <f t="shared" si="28"/>
        <v>0.83422459893048129</v>
      </c>
      <c r="Y105" s="251">
        <f t="shared" si="29"/>
        <v>0.95454545454545459</v>
      </c>
    </row>
    <row r="106" spans="1:25" ht="20.100000000000001" customHeight="1">
      <c r="A106" s="7" t="s">
        <v>168</v>
      </c>
      <c r="B106" s="257" t="s">
        <v>165</v>
      </c>
      <c r="C106" s="9"/>
      <c r="D106" s="103"/>
      <c r="E106" s="10">
        <v>455</v>
      </c>
      <c r="F106" s="11">
        <v>0</v>
      </c>
      <c r="G106" s="11">
        <v>0</v>
      </c>
      <c r="H106" s="13">
        <v>441</v>
      </c>
      <c r="I106" s="11">
        <f t="shared" si="20"/>
        <v>441</v>
      </c>
      <c r="J106" s="75">
        <f t="shared" si="21"/>
        <v>441</v>
      </c>
      <c r="K106" s="28">
        <f>PRODUCT($E106,Calculator!$E$8)</f>
        <v>2047.5</v>
      </c>
      <c r="L106" s="13">
        <f>PRODUCT($I106,Calculator!$E$8)</f>
        <v>1984.5</v>
      </c>
      <c r="M106" s="75">
        <f>PRODUCT($J106,Calculator!$E$8)</f>
        <v>1984.5</v>
      </c>
      <c r="N106" s="14">
        <f>60/($E106*Calculator!$E$8)</f>
        <v>2.9304029304029304E-2</v>
      </c>
      <c r="O106" s="14">
        <f>IF(($E106=$F106),60,60/(($E106-$F106)*Calculator!$E$8))</f>
        <v>2.9304029304029304E-2</v>
      </c>
      <c r="P106" s="77">
        <f>IF(($E106=$G106),60,60/(($E106-$G106)*Calculator!$E$8))</f>
        <v>2.9304029304029304E-2</v>
      </c>
      <c r="Q106" s="14">
        <f>IF(($E106=$H106),60,60/(($E106-$H106)*Calculator!$E$8))</f>
        <v>0.95238095238095233</v>
      </c>
      <c r="R106" s="27">
        <f t="shared" si="22"/>
        <v>0</v>
      </c>
      <c r="S106" s="26">
        <f t="shared" si="23"/>
        <v>0</v>
      </c>
      <c r="T106" s="26">
        <f t="shared" si="24"/>
        <v>31.499999999999996</v>
      </c>
      <c r="U106" s="26">
        <f t="shared" si="25"/>
        <v>31.499999999999996</v>
      </c>
      <c r="V106" s="78">
        <f t="shared" si="26"/>
        <v>31.499999999999996</v>
      </c>
      <c r="W106" s="248">
        <f t="shared" si="27"/>
        <v>0</v>
      </c>
      <c r="X106" s="249">
        <f t="shared" si="28"/>
        <v>0</v>
      </c>
      <c r="Y106" s="251">
        <f t="shared" si="29"/>
        <v>0.96923076923076923</v>
      </c>
    </row>
    <row r="107" spans="1:25" ht="20.100000000000001" customHeight="1">
      <c r="A107" s="7" t="s">
        <v>89</v>
      </c>
      <c r="B107" s="257" t="s">
        <v>166</v>
      </c>
      <c r="C107" s="9"/>
      <c r="D107" s="9"/>
      <c r="E107" s="10">
        <v>110</v>
      </c>
      <c r="F107" s="11">
        <v>0</v>
      </c>
      <c r="G107" s="11">
        <v>0</v>
      </c>
      <c r="H107" s="13">
        <v>58</v>
      </c>
      <c r="I107" s="10">
        <f t="shared" si="20"/>
        <v>58</v>
      </c>
      <c r="J107" s="75">
        <f t="shared" si="21"/>
        <v>58</v>
      </c>
      <c r="K107" s="10">
        <f>PRODUCT($E107,Calculator!$E$8)</f>
        <v>495</v>
      </c>
      <c r="L107" s="13">
        <f>PRODUCT($I107,Calculator!$E$8)</f>
        <v>261</v>
      </c>
      <c r="M107" s="75">
        <f>PRODUCT($J107,Calculator!$E$8)</f>
        <v>261</v>
      </c>
      <c r="N107" s="14">
        <f>60/($E107*Calculator!$E$8)</f>
        <v>0.12121212121212122</v>
      </c>
      <c r="O107" s="14">
        <f>IF(($E107=$F107),60,60/(($E107-$F107)*Calculator!$E$8))</f>
        <v>0.12121212121212122</v>
      </c>
      <c r="P107" s="77">
        <f>IF(($E107=$G107),60,60/(($E107-$G107)*Calculator!$E$8))</f>
        <v>0.12121212121212122</v>
      </c>
      <c r="Q107" s="14">
        <f>IF(($E107=$H107),60,60/(($E107-$H107)*Calculator!$E$8))</f>
        <v>0.25641025641025639</v>
      </c>
      <c r="R107" s="27">
        <f t="shared" si="22"/>
        <v>0</v>
      </c>
      <c r="S107" s="26">
        <f t="shared" si="23"/>
        <v>0</v>
      </c>
      <c r="T107" s="26">
        <f t="shared" si="24"/>
        <v>1.1153846153846152</v>
      </c>
      <c r="U107" s="27">
        <f t="shared" si="25"/>
        <v>1.1153846153846152</v>
      </c>
      <c r="V107" s="78">
        <f t="shared" si="26"/>
        <v>1.1153846153846152</v>
      </c>
      <c r="W107" s="248">
        <f t="shared" si="27"/>
        <v>0</v>
      </c>
      <c r="X107" s="272">
        <f t="shared" si="28"/>
        <v>0</v>
      </c>
      <c r="Y107" s="251">
        <f t="shared" si="29"/>
        <v>0.52727272727272723</v>
      </c>
    </row>
    <row r="108" spans="1:25" ht="20.100000000000001" customHeight="1">
      <c r="A108" s="7" t="s">
        <v>117</v>
      </c>
      <c r="B108" s="257" t="s">
        <v>165</v>
      </c>
      <c r="C108" s="9"/>
      <c r="D108" s="103"/>
      <c r="E108" s="10">
        <v>24</v>
      </c>
      <c r="F108" s="11">
        <v>0</v>
      </c>
      <c r="G108" s="11">
        <v>0</v>
      </c>
      <c r="H108" s="13">
        <v>16</v>
      </c>
      <c r="I108" s="11">
        <f t="shared" si="20"/>
        <v>16</v>
      </c>
      <c r="J108" s="75">
        <f t="shared" si="21"/>
        <v>16</v>
      </c>
      <c r="K108" s="28">
        <f>PRODUCT($E108,Calculator!$E$8)</f>
        <v>108</v>
      </c>
      <c r="L108" s="13">
        <f>PRODUCT($I108,Calculator!$E$8)</f>
        <v>72</v>
      </c>
      <c r="M108" s="75">
        <f>PRODUCT($J108,Calculator!$E$8)</f>
        <v>72</v>
      </c>
      <c r="N108" s="12">
        <f>60/($E108*Calculator!$E$8)</f>
        <v>0.55555555555555558</v>
      </c>
      <c r="O108" s="12">
        <f>IF(($E108=$F108),60,60/(($E108-$F108)*Calculator!$E$8))</f>
        <v>0.55555555555555558</v>
      </c>
      <c r="P108" s="77">
        <f>IF(($E108=$G108),60,60/(($E108-$G108)*Calculator!$E$8))</f>
        <v>0.55555555555555558</v>
      </c>
      <c r="Q108" s="12">
        <f>IF(($E108=$H108),60,60/(($E108-$H108)*Calculator!$E$8))</f>
        <v>1.6666666666666667</v>
      </c>
      <c r="R108" s="26">
        <f t="shared" si="22"/>
        <v>0</v>
      </c>
      <c r="S108" s="26">
        <f t="shared" si="23"/>
        <v>0</v>
      </c>
      <c r="T108" s="26">
        <f t="shared" si="24"/>
        <v>2</v>
      </c>
      <c r="U108" s="26">
        <f t="shared" si="25"/>
        <v>2</v>
      </c>
      <c r="V108" s="78">
        <f t="shared" si="26"/>
        <v>2</v>
      </c>
      <c r="W108" s="248">
        <f t="shared" si="27"/>
        <v>0</v>
      </c>
      <c r="X108" s="249">
        <f t="shared" si="28"/>
        <v>0</v>
      </c>
      <c r="Y108" s="251">
        <f t="shared" si="29"/>
        <v>0.66666666666666663</v>
      </c>
    </row>
    <row r="109" spans="1:25" ht="20.100000000000001" customHeight="1">
      <c r="A109" s="7" t="s">
        <v>90</v>
      </c>
      <c r="B109" s="257" t="s">
        <v>166</v>
      </c>
      <c r="C109" s="9" t="s">
        <v>11</v>
      </c>
      <c r="D109" s="9" t="s">
        <v>11</v>
      </c>
      <c r="E109" s="10">
        <v>244</v>
      </c>
      <c r="F109" s="11">
        <v>161</v>
      </c>
      <c r="G109" s="11">
        <v>178</v>
      </c>
      <c r="H109" s="13">
        <v>229</v>
      </c>
      <c r="I109" s="11">
        <f t="shared" si="20"/>
        <v>68</v>
      </c>
      <c r="J109" s="75">
        <f t="shared" si="21"/>
        <v>51</v>
      </c>
      <c r="K109" s="28">
        <f>PRODUCT($E109,Calculator!$E$8)</f>
        <v>1098</v>
      </c>
      <c r="L109" s="13">
        <f>PRODUCT($I109,Calculator!$E$8)</f>
        <v>306</v>
      </c>
      <c r="M109" s="75">
        <f>PRODUCT($J109,Calculator!$E$8)</f>
        <v>229.5</v>
      </c>
      <c r="N109" s="12">
        <f>60/($E109*Calculator!$E$8)</f>
        <v>5.4644808743169397E-2</v>
      </c>
      <c r="O109" s="12">
        <f>IF(($E109=$F109),60,60/(($E109-$F109)*Calculator!$E$8))</f>
        <v>0.1606425702811245</v>
      </c>
      <c r="P109" s="77">
        <f>IF(($E109=$G109),60,60/(($E109-$G109)*Calculator!$E$8))</f>
        <v>0.20202020202020202</v>
      </c>
      <c r="Q109" s="24">
        <f>IF(($E109=$H109),60,60/(($E109-$H109)*Calculator!$E$8))</f>
        <v>0.88888888888888884</v>
      </c>
      <c r="R109" s="26">
        <f t="shared" si="22"/>
        <v>1.9397590361445782</v>
      </c>
      <c r="S109" s="26">
        <f t="shared" si="23"/>
        <v>2.6969696969696968</v>
      </c>
      <c r="T109" s="26">
        <f t="shared" si="24"/>
        <v>15.266666666666667</v>
      </c>
      <c r="U109" s="26">
        <f t="shared" si="25"/>
        <v>4.5333333333333332</v>
      </c>
      <c r="V109" s="78">
        <f t="shared" si="26"/>
        <v>3.4</v>
      </c>
      <c r="W109" s="248">
        <f t="shared" si="27"/>
        <v>0.6598360655737705</v>
      </c>
      <c r="X109" s="249">
        <f t="shared" si="28"/>
        <v>0.72950819672131151</v>
      </c>
      <c r="Y109" s="251">
        <f t="shared" si="29"/>
        <v>0.93852459016393441</v>
      </c>
    </row>
    <row r="110" spans="1:25" ht="20.100000000000001" customHeight="1">
      <c r="A110" s="7" t="s">
        <v>91</v>
      </c>
      <c r="B110" s="257" t="s">
        <v>165</v>
      </c>
      <c r="C110" s="9" t="s">
        <v>11</v>
      </c>
      <c r="D110" s="9" t="s">
        <v>11</v>
      </c>
      <c r="E110" s="10">
        <v>368</v>
      </c>
      <c r="F110" s="11">
        <v>280</v>
      </c>
      <c r="G110" s="11">
        <v>332</v>
      </c>
      <c r="H110" s="13">
        <v>352</v>
      </c>
      <c r="I110" s="10">
        <f t="shared" si="20"/>
        <v>72</v>
      </c>
      <c r="J110" s="75">
        <f t="shared" si="21"/>
        <v>20</v>
      </c>
      <c r="K110" s="10">
        <f>PRODUCT($E110,Calculator!$E$8)</f>
        <v>1656</v>
      </c>
      <c r="L110" s="13">
        <f>PRODUCT($I110,Calculator!$E$8)</f>
        <v>324</v>
      </c>
      <c r="M110" s="75">
        <f>PRODUCT($J110,Calculator!$E$8)</f>
        <v>90</v>
      </c>
      <c r="N110" s="14">
        <f>60/($E110*Calculator!$E$8)</f>
        <v>3.6231884057971016E-2</v>
      </c>
      <c r="O110" s="14">
        <f>IF(($E110=$F110),60,60/(($E110-$F110)*Calculator!$E$8))</f>
        <v>0.15151515151515152</v>
      </c>
      <c r="P110" s="77">
        <f>IF(($E110=$G110),60,60/(($E110-$G110)*Calculator!$E$8))</f>
        <v>0.37037037037037035</v>
      </c>
      <c r="Q110" s="25">
        <f>IF(($E110=$H110),60,60/(($E110-$H110)*Calculator!$E$8))</f>
        <v>0.83333333333333337</v>
      </c>
      <c r="R110" s="27">
        <f t="shared" si="22"/>
        <v>3.1818181818181821</v>
      </c>
      <c r="S110" s="26">
        <f t="shared" si="23"/>
        <v>9.2222222222222214</v>
      </c>
      <c r="T110" s="26">
        <f t="shared" si="24"/>
        <v>22</v>
      </c>
      <c r="U110" s="27">
        <f t="shared" si="25"/>
        <v>4.5</v>
      </c>
      <c r="V110" s="78">
        <f t="shared" si="26"/>
        <v>1.2500000000000002</v>
      </c>
      <c r="W110" s="248">
        <f t="shared" si="27"/>
        <v>0.76086956521739135</v>
      </c>
      <c r="X110" s="249">
        <f t="shared" si="28"/>
        <v>0.90217391304347827</v>
      </c>
      <c r="Y110" s="251">
        <f t="shared" si="29"/>
        <v>0.95652173913043481</v>
      </c>
    </row>
    <row r="111" spans="1:25" ht="20.100000000000001" customHeight="1">
      <c r="A111" s="7" t="s">
        <v>114</v>
      </c>
      <c r="B111" s="257" t="s">
        <v>165</v>
      </c>
      <c r="C111" s="9" t="s">
        <v>11</v>
      </c>
      <c r="D111" s="9" t="s">
        <v>11</v>
      </c>
      <c r="E111" s="10">
        <v>447</v>
      </c>
      <c r="F111" s="11">
        <v>394</v>
      </c>
      <c r="G111" s="11">
        <v>407</v>
      </c>
      <c r="H111" s="13">
        <v>435</v>
      </c>
      <c r="I111" s="11">
        <f t="shared" si="20"/>
        <v>41</v>
      </c>
      <c r="J111" s="75">
        <f t="shared" si="21"/>
        <v>28</v>
      </c>
      <c r="K111" s="28">
        <f>PRODUCT($E111,Calculator!$E$8)</f>
        <v>2011.5</v>
      </c>
      <c r="L111" s="13">
        <f>PRODUCT($I111,Calculator!$E$8)</f>
        <v>184.5</v>
      </c>
      <c r="M111" s="75">
        <f>PRODUCT($J111,Calculator!$E$8)</f>
        <v>126</v>
      </c>
      <c r="N111" s="12">
        <f>60/($E111*Calculator!$E$8)</f>
        <v>2.9828486204325131E-2</v>
      </c>
      <c r="O111" s="12">
        <f>IF(($E111=$F111),60,60/(($E111-$F111)*Calculator!$E$8))</f>
        <v>0.25157232704402516</v>
      </c>
      <c r="P111" s="77">
        <f>IF(($E111=$G111),60,60/(($E111-$G111)*Calculator!$E$8))</f>
        <v>0.33333333333333331</v>
      </c>
      <c r="Q111" s="12">
        <f>IF(($E111=$H111),60,60/(($E111-$H111)*Calculator!$E$8))</f>
        <v>1.1111111111111112</v>
      </c>
      <c r="R111" s="26">
        <f t="shared" si="22"/>
        <v>7.4339622641509431</v>
      </c>
      <c r="S111" s="26">
        <f t="shared" si="23"/>
        <v>10.174999999999999</v>
      </c>
      <c r="T111" s="26">
        <f t="shared" si="24"/>
        <v>36.25</v>
      </c>
      <c r="U111" s="26">
        <f t="shared" si="25"/>
        <v>3.416666666666667</v>
      </c>
      <c r="V111" s="78">
        <f t="shared" si="26"/>
        <v>2.3333333333333339</v>
      </c>
      <c r="W111" s="248">
        <f t="shared" si="27"/>
        <v>0.88143176733780759</v>
      </c>
      <c r="X111" s="249">
        <f t="shared" si="28"/>
        <v>0.91051454138702459</v>
      </c>
      <c r="Y111" s="251">
        <f t="shared" si="29"/>
        <v>0.97315436241610742</v>
      </c>
    </row>
    <row r="112" spans="1:25" ht="20.100000000000001" customHeight="1">
      <c r="A112" s="8" t="s">
        <v>212</v>
      </c>
      <c r="B112" s="257" t="s">
        <v>165</v>
      </c>
      <c r="C112" s="9"/>
      <c r="D112" s="9"/>
      <c r="E112" s="16">
        <v>65</v>
      </c>
      <c r="F112" s="17">
        <v>0</v>
      </c>
      <c r="G112" s="17">
        <v>0</v>
      </c>
      <c r="H112" s="18">
        <v>64</v>
      </c>
      <c r="I112" s="17">
        <f t="shared" si="20"/>
        <v>64</v>
      </c>
      <c r="J112" s="75">
        <f t="shared" si="21"/>
        <v>64</v>
      </c>
      <c r="K112" s="274">
        <f>PRODUCT($E112,Calculator!$E$8)</f>
        <v>292.5</v>
      </c>
      <c r="L112" s="18">
        <f>PRODUCT($I112,Calculator!$E$8)</f>
        <v>288</v>
      </c>
      <c r="M112" s="75">
        <f>PRODUCT($J112,Calculator!$E$8)</f>
        <v>288</v>
      </c>
      <c r="N112" s="275">
        <f>60/($E112*Calculator!$E$8)</f>
        <v>0.20512820512820512</v>
      </c>
      <c r="O112" s="275">
        <f>IF(($E112=$F112),60,60/(($E112-$F112)*Calculator!$E$8))</f>
        <v>0.20512820512820512</v>
      </c>
      <c r="P112" s="77">
        <f>IF(($E112=$G112),60,60/(($E112-$G112)*Calculator!$E$8))</f>
        <v>0.20512820512820512</v>
      </c>
      <c r="Q112" s="276">
        <f>IF(($E112=$H112),60,60/(($E112-$H112)*Calculator!$E$8))</f>
        <v>13.333333333333334</v>
      </c>
      <c r="R112" s="26">
        <f t="shared" si="22"/>
        <v>0</v>
      </c>
      <c r="S112" s="26">
        <f t="shared" si="23"/>
        <v>0</v>
      </c>
      <c r="T112" s="26">
        <f t="shared" si="24"/>
        <v>64.000000000000014</v>
      </c>
      <c r="U112" s="26">
        <f t="shared" si="25"/>
        <v>64.000000000000014</v>
      </c>
      <c r="V112" s="78">
        <f t="shared" si="26"/>
        <v>64.000000000000014</v>
      </c>
      <c r="W112" s="248">
        <f t="shared" si="27"/>
        <v>0</v>
      </c>
      <c r="X112" s="249">
        <f t="shared" si="28"/>
        <v>0</v>
      </c>
      <c r="Y112" s="251">
        <f t="shared" si="29"/>
        <v>0.98461538461538467</v>
      </c>
    </row>
    <row r="113" spans="1:25" ht="20.100000000000001" customHeight="1">
      <c r="A113" s="8" t="s">
        <v>65</v>
      </c>
      <c r="B113" s="257" t="s">
        <v>166</v>
      </c>
      <c r="C113" s="10"/>
      <c r="D113" s="10"/>
      <c r="E113" s="10">
        <v>15</v>
      </c>
      <c r="F113" s="10">
        <v>0</v>
      </c>
      <c r="G113" s="10">
        <v>0</v>
      </c>
      <c r="H113" s="10">
        <v>15</v>
      </c>
      <c r="I113" s="10">
        <f t="shared" si="20"/>
        <v>15</v>
      </c>
      <c r="J113" s="75">
        <f t="shared" si="21"/>
        <v>15</v>
      </c>
      <c r="K113" s="10">
        <f>PRODUCT($E113,Calculator!$E$8)</f>
        <v>67.5</v>
      </c>
      <c r="L113" s="11">
        <f>PRODUCT($I113,Calculator!$E$8)</f>
        <v>67.5</v>
      </c>
      <c r="M113" s="75">
        <f>PRODUCT($J113,Calculator!$E$8)</f>
        <v>67.5</v>
      </c>
      <c r="N113" s="12">
        <f>60/($E113*Calculator!$E$8)</f>
        <v>0.88888888888888884</v>
      </c>
      <c r="O113" s="12">
        <f>IF(($E113=$F113),60,60/(($E113-$F113)*Calculator!$E$8))</f>
        <v>0.88888888888888884</v>
      </c>
      <c r="P113" s="77">
        <f>IF(($E113=$G113),60,60/(($E113-$G113)*Calculator!$E$8))</f>
        <v>0.88888888888888884</v>
      </c>
      <c r="Q113" s="12">
        <f>IF(($E113=$H113),60,60/(($E113-$H113)*Calculator!$E$8))</f>
        <v>60</v>
      </c>
      <c r="R113" s="26">
        <f t="shared" si="22"/>
        <v>0</v>
      </c>
      <c r="S113" s="26">
        <f t="shared" si="23"/>
        <v>0</v>
      </c>
      <c r="T113" s="26">
        <f t="shared" si="24"/>
        <v>66.500000000000014</v>
      </c>
      <c r="U113" s="26">
        <f t="shared" si="25"/>
        <v>66.500000000000014</v>
      </c>
      <c r="V113" s="78">
        <f t="shared" si="26"/>
        <v>66.500000000000014</v>
      </c>
      <c r="W113" s="248">
        <f t="shared" si="27"/>
        <v>0</v>
      </c>
      <c r="X113" s="249">
        <f t="shared" si="28"/>
        <v>0</v>
      </c>
      <c r="Y113" s="251">
        <f t="shared" si="29"/>
        <v>1</v>
      </c>
    </row>
    <row r="114" spans="1:25" ht="20.100000000000001" customHeight="1">
      <c r="A114" s="7" t="s">
        <v>66</v>
      </c>
      <c r="B114" s="257" t="s">
        <v>166</v>
      </c>
      <c r="C114" s="9"/>
      <c r="D114" s="9"/>
      <c r="E114" s="10">
        <v>7</v>
      </c>
      <c r="F114" s="11">
        <v>0</v>
      </c>
      <c r="G114" s="11">
        <v>0</v>
      </c>
      <c r="H114" s="11">
        <v>7</v>
      </c>
      <c r="I114" s="11">
        <f t="shared" si="20"/>
        <v>7</v>
      </c>
      <c r="J114" s="75">
        <f t="shared" si="21"/>
        <v>7</v>
      </c>
      <c r="K114" s="28">
        <f>PRODUCT($E114,Calculator!$E$8)</f>
        <v>31.5</v>
      </c>
      <c r="L114" s="11">
        <f>PRODUCT($I114,Calculator!$E$8)</f>
        <v>31.5</v>
      </c>
      <c r="M114" s="75">
        <f>PRODUCT($J114,Calculator!$E$8)</f>
        <v>31.5</v>
      </c>
      <c r="N114" s="12">
        <f>60/($E114*Calculator!$E$8)</f>
        <v>1.9047619047619047</v>
      </c>
      <c r="O114" s="12">
        <f>IF(($E114=$F114),60,60/(($E114-$F114)*Calculator!$E$8))</f>
        <v>1.9047619047619047</v>
      </c>
      <c r="P114" s="77">
        <f>IF(($E114=$G114),60,60/(($E114-$G114)*Calculator!$E$8))</f>
        <v>1.9047619047619047</v>
      </c>
      <c r="Q114" s="12">
        <f>IF(($E114=$H114),60,60/(($E114-$H114)*Calculator!$E$8))</f>
        <v>60</v>
      </c>
      <c r="R114" s="26">
        <f t="shared" si="22"/>
        <v>0</v>
      </c>
      <c r="S114" s="26">
        <f t="shared" si="23"/>
        <v>0</v>
      </c>
      <c r="T114" s="26">
        <f t="shared" si="24"/>
        <v>30.5</v>
      </c>
      <c r="U114" s="26">
        <f t="shared" si="25"/>
        <v>30.5</v>
      </c>
      <c r="V114" s="78">
        <f t="shared" si="26"/>
        <v>30.5</v>
      </c>
      <c r="W114" s="248">
        <f t="shared" si="27"/>
        <v>0</v>
      </c>
      <c r="X114" s="249">
        <f t="shared" si="28"/>
        <v>0</v>
      </c>
      <c r="Y114" s="251">
        <f t="shared" si="29"/>
        <v>1</v>
      </c>
    </row>
    <row r="115" spans="1:25" ht="20.100000000000001" customHeight="1">
      <c r="A115" s="7" t="s">
        <v>67</v>
      </c>
      <c r="B115" s="257" t="s">
        <v>166</v>
      </c>
      <c r="C115" s="9"/>
      <c r="D115" s="9"/>
      <c r="E115" s="10">
        <v>35</v>
      </c>
      <c r="F115" s="11">
        <v>0</v>
      </c>
      <c r="G115" s="11">
        <v>0</v>
      </c>
      <c r="H115" s="11">
        <v>30</v>
      </c>
      <c r="I115" s="11">
        <f t="shared" ref="I115:I117" si="30">H115-F115</f>
        <v>30</v>
      </c>
      <c r="J115" s="75">
        <f t="shared" si="21"/>
        <v>30</v>
      </c>
      <c r="K115" s="28">
        <f>PRODUCT($E115,Calculator!$E$8)</f>
        <v>157.5</v>
      </c>
      <c r="L115" s="11">
        <f>PRODUCT($I115,Calculator!$E$8)</f>
        <v>135</v>
      </c>
      <c r="M115" s="75">
        <f>PRODUCT($J115,Calculator!$E$8)</f>
        <v>135</v>
      </c>
      <c r="N115" s="12">
        <f>60/($E115*Calculator!$E$8)</f>
        <v>0.38095238095238093</v>
      </c>
      <c r="O115" s="12">
        <f>IF(($E115=$F115),60,60/(($E115-$F115)*Calculator!$E$8))</f>
        <v>0.38095238095238093</v>
      </c>
      <c r="P115" s="77">
        <f>IF(($E115=$G115),60,60/(($E115-$G115)*Calculator!$E$8))</f>
        <v>0.38095238095238093</v>
      </c>
      <c r="Q115" s="12">
        <f>IF(($E115=$H115),60,60/(($E115-$H115)*Calculator!$E$8))</f>
        <v>2.6666666666666665</v>
      </c>
      <c r="R115" s="26">
        <f t="shared" si="22"/>
        <v>0</v>
      </c>
      <c r="S115" s="26">
        <f t="shared" si="23"/>
        <v>0</v>
      </c>
      <c r="T115" s="26">
        <f t="shared" si="24"/>
        <v>6</v>
      </c>
      <c r="U115" s="26">
        <f t="shared" si="25"/>
        <v>6</v>
      </c>
      <c r="V115" s="78">
        <f t="shared" si="26"/>
        <v>6</v>
      </c>
      <c r="W115" s="248">
        <f t="shared" si="27"/>
        <v>0</v>
      </c>
      <c r="X115" s="249">
        <f t="shared" si="28"/>
        <v>0</v>
      </c>
      <c r="Y115" s="251">
        <f t="shared" si="29"/>
        <v>0.8571428571428571</v>
      </c>
    </row>
    <row r="116" spans="1:25" ht="20.100000000000001" customHeight="1">
      <c r="A116" s="7" t="s">
        <v>124</v>
      </c>
      <c r="B116" s="257" t="s">
        <v>167</v>
      </c>
      <c r="C116" s="9"/>
      <c r="D116" s="103"/>
      <c r="E116" s="10">
        <v>296</v>
      </c>
      <c r="F116" s="11">
        <v>0</v>
      </c>
      <c r="G116" s="11">
        <v>0</v>
      </c>
      <c r="H116" s="11">
        <v>268</v>
      </c>
      <c r="I116" s="11">
        <f t="shared" si="30"/>
        <v>268</v>
      </c>
      <c r="J116" s="75">
        <f t="shared" si="21"/>
        <v>268</v>
      </c>
      <c r="K116" s="28">
        <f>PRODUCT($E116,Calculator!$E$8)</f>
        <v>1332</v>
      </c>
      <c r="L116" s="11">
        <f>PRODUCT($I116,Calculator!$E$8)</f>
        <v>1206</v>
      </c>
      <c r="M116" s="75">
        <f>PRODUCT($J116,Calculator!$E$8)</f>
        <v>1206</v>
      </c>
      <c r="N116" s="12">
        <f>60/($E116*Calculator!$E$8)</f>
        <v>4.5045045045045043E-2</v>
      </c>
      <c r="O116" s="12">
        <f>IF(($E116=$F116),60,60/(($E116-$F116)*Calculator!$E$8))</f>
        <v>4.5045045045045043E-2</v>
      </c>
      <c r="P116" s="77">
        <f>IF(($E116=$G116),60,60/(($E116-$G116)*Calculator!$E$8))</f>
        <v>4.5045045045045043E-2</v>
      </c>
      <c r="Q116" s="12">
        <f>IF(($E116=$H116),60,60/(($E116-$H116)*Calculator!$E$8))</f>
        <v>0.47619047619047616</v>
      </c>
      <c r="R116" s="26">
        <f t="shared" si="22"/>
        <v>0</v>
      </c>
      <c r="S116" s="26">
        <f t="shared" si="23"/>
        <v>0</v>
      </c>
      <c r="T116" s="26">
        <f t="shared" si="24"/>
        <v>9.5714285714285712</v>
      </c>
      <c r="U116" s="26">
        <f t="shared" si="25"/>
        <v>9.5714285714285712</v>
      </c>
      <c r="V116" s="78">
        <f t="shared" si="26"/>
        <v>9.5714285714285712</v>
      </c>
      <c r="W116" s="248">
        <f t="shared" si="27"/>
        <v>0</v>
      </c>
      <c r="X116" s="273"/>
      <c r="Y116" s="251">
        <f t="shared" si="29"/>
        <v>0.90540540540540537</v>
      </c>
    </row>
    <row r="117" spans="1:25" ht="20.100000000000001" customHeight="1">
      <c r="A117" s="7" t="s">
        <v>213</v>
      </c>
      <c r="B117" s="257" t="s">
        <v>167</v>
      </c>
      <c r="C117" s="9"/>
      <c r="D117" s="9"/>
      <c r="E117" s="10">
        <v>291</v>
      </c>
      <c r="F117" s="11">
        <v>0</v>
      </c>
      <c r="G117" s="11">
        <v>0</v>
      </c>
      <c r="H117" s="13">
        <v>271</v>
      </c>
      <c r="I117" s="11">
        <f t="shared" si="30"/>
        <v>271</v>
      </c>
      <c r="J117" s="75">
        <f t="shared" si="21"/>
        <v>271</v>
      </c>
      <c r="K117" s="28">
        <f>PRODUCT($E117,Calculator!$E$8)</f>
        <v>1309.5</v>
      </c>
      <c r="L117" s="11">
        <f>PRODUCT($I117,Calculator!$E$8)</f>
        <v>1219.5</v>
      </c>
      <c r="M117" s="75">
        <f>PRODUCT($J117,Calculator!$E$8)</f>
        <v>1219.5</v>
      </c>
      <c r="N117" s="12">
        <f>60/($E117*Calculator!$E$8)</f>
        <v>4.5819014891179836E-2</v>
      </c>
      <c r="O117" s="12">
        <f>IF(($E117=$F117),60,60/(($E117-$F117)*Calculator!$E$8))</f>
        <v>4.5819014891179836E-2</v>
      </c>
      <c r="P117" s="77">
        <f>IF(($E117=$G117),60,60/(($E117-$G117)*Calculator!$E$8))</f>
        <v>4.5819014891179836E-2</v>
      </c>
      <c r="Q117" s="12">
        <f>IF(($E117=$H117),60,60/(($E117-$H117)*Calculator!$E$8))</f>
        <v>0.66666666666666663</v>
      </c>
      <c r="R117" s="26">
        <f t="shared" si="22"/>
        <v>0</v>
      </c>
      <c r="S117" s="26">
        <f t="shared" si="23"/>
        <v>0</v>
      </c>
      <c r="T117" s="26">
        <f t="shared" si="24"/>
        <v>13.55</v>
      </c>
      <c r="U117" s="26">
        <f t="shared" si="25"/>
        <v>13.55</v>
      </c>
      <c r="V117" s="78">
        <f t="shared" si="26"/>
        <v>13.55</v>
      </c>
      <c r="W117" s="252">
        <f t="shared" si="27"/>
        <v>0</v>
      </c>
      <c r="X117" s="81">
        <f xml:space="preserve"> G117/E117</f>
        <v>0</v>
      </c>
      <c r="Y117" s="253">
        <f t="shared" si="29"/>
        <v>0.93127147766323026</v>
      </c>
    </row>
    <row r="119" spans="1:25">
      <c r="V119" s="29"/>
      <c r="W119" s="29"/>
      <c r="X119" s="29"/>
    </row>
  </sheetData>
  <sheetProtection sheet="1" objects="1" scenarios="1"/>
  <mergeCells count="1">
    <mergeCell ref="A1:Y1"/>
  </mergeCells>
  <conditionalFormatting sqref="B12:B117">
    <cfRule type="containsText" dxfId="2" priority="1" operator="containsText" text="Deprecated">
      <formula>NOT(ISERROR(SEARCH("Deprecated",B12)))</formula>
    </cfRule>
    <cfRule type="containsText" dxfId="1" priority="2" operator="containsText" text="Sunset">
      <formula>NOT(ISERROR(SEARCH("Sunset",B12)))</formula>
    </cfRule>
    <cfRule type="containsText" dxfId="0" priority="3" operator="containsText" text="Active">
      <formula>NOT(ISERROR(SEARCH("Active",B12)))</formula>
    </cfRule>
  </conditionalFormatting>
  <conditionalFormatting sqref="W110">
    <cfRule type="dataBar" priority="5">
      <dataBar>
        <cfvo type="num" val="0"/>
        <cfvo type="num" val="1"/>
        <color rgb="FFEC7320"/>
      </dataBar>
      <extLst>
        <ext xmlns:x14="http://schemas.microsoft.com/office/spreadsheetml/2009/9/main" uri="{B025F937-C7B1-47D3-B67F-A62EFF666E3E}">
          <x14:id>{62281D7E-49BC-4546-8D1F-F4EE2C6599DE}</x14:id>
        </ext>
      </extLst>
    </cfRule>
  </conditionalFormatting>
  <conditionalFormatting sqref="W111:W117 W15:W109">
    <cfRule type="dataBar" priority="13">
      <dataBar>
        <cfvo type="num" val="0"/>
        <cfvo type="num" val="1"/>
        <color rgb="FFEC7320"/>
      </dataBar>
      <extLst>
        <ext xmlns:x14="http://schemas.microsoft.com/office/spreadsheetml/2009/9/main" uri="{B025F937-C7B1-47D3-B67F-A62EFF666E3E}">
          <x14:id>{117FCCBA-D30B-461A-BC49-AD0EA1944DE0}</x14:id>
        </ext>
      </extLst>
    </cfRule>
  </conditionalFormatting>
  <conditionalFormatting sqref="W12:X12 W13:W14 X13:X117">
    <cfRule type="dataBar" priority="7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{A3F01DFC-3136-4D7E-ABB4-0F43A95907D6}</x14:id>
        </ext>
      </extLst>
    </cfRule>
  </conditionalFormatting>
  <conditionalFormatting sqref="Y12:Y14">
    <cfRule type="dataBar" priority="6">
      <dataBar>
        <cfvo type="num" val="0"/>
        <cfvo type="num" val="1"/>
        <color rgb="FF6CA644"/>
      </dataBar>
      <extLst>
        <ext xmlns:x14="http://schemas.microsoft.com/office/spreadsheetml/2009/9/main" uri="{B025F937-C7B1-47D3-B67F-A62EFF666E3E}">
          <x14:id>{93173D2E-DDF7-400B-93A5-1169F53B9445}</x14:id>
        </ext>
      </extLst>
    </cfRule>
  </conditionalFormatting>
  <conditionalFormatting sqref="Y110">
    <cfRule type="dataBar" priority="4">
      <dataBar>
        <cfvo type="num" val="0"/>
        <cfvo type="num" val="1"/>
        <color rgb="FF6CA644"/>
      </dataBar>
      <extLst>
        <ext xmlns:x14="http://schemas.microsoft.com/office/spreadsheetml/2009/9/main" uri="{B025F937-C7B1-47D3-B67F-A62EFF666E3E}">
          <x14:id>{571A6580-F3F3-463C-81C2-0C7DAEA091BA}</x14:id>
        </ext>
      </extLst>
    </cfRule>
  </conditionalFormatting>
  <conditionalFormatting sqref="Y111:Y117 Y15:Y109">
    <cfRule type="dataBar" priority="12">
      <dataBar>
        <cfvo type="num" val="0"/>
        <cfvo type="num" val="1"/>
        <color rgb="FF6CA644"/>
      </dataBar>
      <extLst>
        <ext xmlns:x14="http://schemas.microsoft.com/office/spreadsheetml/2009/9/main" uri="{B025F937-C7B1-47D3-B67F-A62EFF666E3E}">
          <x14:id>{8B29BCCA-816B-4B53-BA65-131D991B0943}</x14:id>
        </ext>
      </extLst>
    </cfRule>
  </conditionalFormatting>
  <dataValidations count="1">
    <dataValidation type="list" allowBlank="1" showInputMessage="1" showErrorMessage="1" sqref="B12:B117" xr:uid="{8EBEC032-072E-42C9-868F-6C823B378BA3}">
      <formula1>$AA$12:$AA$14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281D7E-49BC-4546-8D1F-F4EE2C6599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W110</xm:sqref>
        </x14:conditionalFormatting>
        <x14:conditionalFormatting xmlns:xm="http://schemas.microsoft.com/office/excel/2006/main">
          <x14:cfRule type="dataBar" id="{117FCCBA-D30B-461A-BC49-AD0EA1944D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W111:W117 W15:W109</xm:sqref>
        </x14:conditionalFormatting>
        <x14:conditionalFormatting xmlns:xm="http://schemas.microsoft.com/office/excel/2006/main">
          <x14:cfRule type="dataBar" id="{A3F01DFC-3136-4D7E-ABB4-0F43A95907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W12:X12 W13:W14 X13:X117</xm:sqref>
        </x14:conditionalFormatting>
        <x14:conditionalFormatting xmlns:xm="http://schemas.microsoft.com/office/excel/2006/main">
          <x14:cfRule type="dataBar" id="{93173D2E-DDF7-400B-93A5-1169F53B94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Y12:Y14</xm:sqref>
        </x14:conditionalFormatting>
        <x14:conditionalFormatting xmlns:xm="http://schemas.microsoft.com/office/excel/2006/main">
          <x14:cfRule type="dataBar" id="{571A6580-F3F3-463C-81C2-0C7DAEA091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Y110</xm:sqref>
        </x14:conditionalFormatting>
        <x14:conditionalFormatting xmlns:xm="http://schemas.microsoft.com/office/excel/2006/main">
          <x14:cfRule type="dataBar" id="{8B29BCCA-816B-4B53-BA65-131D991B09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Y111:Y117 Y15:Y109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A4" sqref="A4"/>
    </sheetView>
  </sheetViews>
  <sheetFormatPr defaultRowHeight="15"/>
  <cols>
    <col min="1" max="1" width="11.28515625" bestFit="1" customWidth="1"/>
  </cols>
  <sheetData>
    <row r="1" spans="1:1">
      <c r="A1" t="s">
        <v>40</v>
      </c>
    </row>
    <row r="2" spans="1:1">
      <c r="A2" s="1">
        <v>76</v>
      </c>
    </row>
    <row r="3" spans="1:1">
      <c r="A3" s="1">
        <v>88.5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Calculator</vt:lpstr>
      <vt:lpstr>Charts</vt:lpstr>
      <vt:lpstr>STIG_Metrics</vt:lpstr>
      <vt:lpstr>Dropdown Data</vt:lpstr>
    </vt:vector>
  </TitlesOfParts>
  <Manager/>
  <Company>NSWC Crane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Eval-STIG_spt@us.navy.mil</dc:creator>
  <cp:keywords/>
  <dc:description/>
  <cp:lastModifiedBy>Ireland, Daniel C CIV USN NSWC CD CRANE IN (USA)</cp:lastModifiedBy>
  <cp:revision/>
  <dcterms:created xsi:type="dcterms:W3CDTF">2019-06-13T11:44:07Z</dcterms:created>
  <dcterms:modified xsi:type="dcterms:W3CDTF">2025-12-11T14:51:36Z</dcterms:modified>
  <cp:category/>
  <cp:contentStatus/>
</cp:coreProperties>
</file>